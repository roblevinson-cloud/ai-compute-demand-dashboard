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71ab69abd44e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40abdf93d2249ea"/>
    <x:sheet xmlns:r="http://schemas.openxmlformats.org/officeDocument/2006/relationships" name="Arrivals" sheetId="2" r:id="R6502c9c664b14e83"/>
    <x:sheet xmlns:r="http://schemas.openxmlformats.org/officeDocument/2006/relationships" name="Fixture Evidence" sheetId="3" r:id="R0554c9f356184867"/>
    <x:sheet xmlns:r="http://schemas.openxmlformats.org/officeDocument/2006/relationships" name="Monthly Monitor" sheetId="4" r:id="Rf56c44d2a70f4835"/>
    <x:sheet xmlns:r="http://schemas.openxmlformats.org/officeDocument/2006/relationships" name="Annual Benchmarks" sheetId="5" r:id="Ra21d140c2f0c480f"/>
    <x:sheet xmlns:r="http://schemas.openxmlformats.org/officeDocument/2006/relationships" name="Future Fleet" sheetId="6" r:id="R7ad17d74d0a54858"/>
    <x:sheet xmlns:r="http://schemas.openxmlformats.org/officeDocument/2006/relationships" name="Sources &amp; Update" sheetId="7" r:id="R96215cbdccfa44d1"/>
    <x:sheet xmlns:r="http://schemas.openxmlformats.org/officeDocument/2006/relationships" name="2026 Backfill" sheetId="8" r:id="Ra39b56737f394bb2"/>
    <x:sheet xmlns:r="http://schemas.openxmlformats.org/officeDocument/2006/relationships" name="2026 Reconstruction" sheetId="9" r:id="Rdb4c7e8eb9be43ce"/>
    <x:sheet xmlns:r="http://schemas.openxmlformats.org/officeDocument/2006/relationships" name="Customs Imports" sheetId="10" r:id="Rd320cc33c6b3404e"/>
    <x:sheet xmlns:r="http://schemas.openxmlformats.org/officeDocument/2006/relationships" name="Quarterly Reconciliation" sheetId="11" r:id="Ra5e9d5c74ca641b4"/>
    <x:sheet xmlns:r="http://schemas.openxmlformats.org/officeDocument/2006/relationships" name="Quarterly Inputs" sheetId="12" r:id="R8d4abe660fc94b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8">
    <x:numFmt numFmtId="200" formatCode="yyyy-mm-dd"/>
    <x:numFmt numFmtId="201" formatCode="yyyy-mm-dd hh:mm"/>
    <x:numFmt numFmtId="202" formatCode="#,##0;[Red](#,##0);-"/>
    <x:numFmt numFmtId="203" formatCode="0.0;[Red](0.0);-"/>
    <x:numFmt numFmtId="204" formatCode="0.0"/>
    <x:numFmt numFmtId="205" formatCode="mmm-yy"/>
    <x:numFmt numFmtId="206" formatCode="0.0%"/>
    <x:numFmt numFmtId="207" formatCode="#,##0"/>
    <x:numFmt numFmtId="208" formatCode="0.00"/>
    <x:numFmt numFmtId="209" formatCode="0.0%;[Red](0.0%);-"/>
    <x:numFmt numFmtId="210" formatCode="0.00x"/>
    <x:numFmt numFmtId="211" formatCode="0.00;[Red](0.00);-"/>
    <x:numFmt numFmtId="212" formatCode="#,##0.0"/>
    <x:numFmt numFmtId="213" formatCode="#,##0.000"/>
    <x:numFmt numFmtId="214" formatCode="0.000"/>
    <x:numFmt numFmtId="215" formatCode="0"/>
    <x:numFmt numFmtId="216" formatCode="#,##0.0;(#,##0.0);–"/>
    <x:numFmt numFmtId="217" formatCode="0.0%;(0.0%)"/>
  </x:numFmts>
  <x:fonts count="18">
    <x:font>
      <x:sz val="11"/>
      <x:name val="Carlito"/>
    </x:font>
    <x:font>
      <x:b/>
      <x:sz val="16"/>
      <x:color rgb="FFFFFFFF"/>
      <x:name val="Arial"/>
    </x:font>
    <x:font>
      <x:b/>
      <x:sz val="10"/>
      <x:color rgb="FF222222"/>
      <x:name val="Arial"/>
    </x:font>
    <x:font>
      <x:sz val="10"/>
      <x:color rgb="FF0000FF"/>
      <x:name val="Arial"/>
    </x:font>
    <x:font>
      <x:sz val="10"/>
      <x:color rgb="FF000000"/>
      <x:name val="Arial"/>
    </x:font>
    <x:font>
      <x:sz val="10"/>
      <x:color rgb="FFC00000"/>
      <x:name val="Arial"/>
    </x:font>
    <x:font>
      <x:b/>
      <x:sz val="10"/>
      <x:name val="Arial"/>
    </x:font>
    <x:font>
      <x:b/>
      <x:sz val="11"/>
      <x:color rgb="FFFFFFFF"/>
      <x:name val="Arial"/>
    </x:font>
    <x:font>
      <x:sz val="10"/>
      <x:name val="Arial"/>
    </x:font>
    <x:font>
      <x:i/>
      <x:sz val="10"/>
      <x:name val="Arial"/>
    </x:font>
    <x:font>
      <x:b/>
      <x:sz val="10"/>
      <x:color rgb="FF000000"/>
      <x:name val="Arial"/>
    </x:font>
    <x:font>
      <x:b/>
      <x:sz val="10"/>
      <x:color rgb="FFFFFFFF"/>
      <x:name val="Arial"/>
    </x:font>
    <x:font>
      <x:b/>
      <x:sz val="10"/>
      <x:color rgb="FF0000FF"/>
      <x:name val="Arial"/>
    </x:font>
    <x:font>
      <x:sz val="10"/>
      <x:color rgb="FF008000"/>
      <x:name val="Arial"/>
    </x:font>
    <x:font>
      <x:b/>
      <x:sz val="15"/>
      <x:color rgb="FF17365D"/>
      <x:name val="Arial"/>
    </x:font>
    <x:font>
      <x:sz val="11"/>
      <x:name val="Arial"/>
    </x:font>
    <x:font>
      <x:sz val="18"/>
      <x:name val="Arial"/>
    </x:font>
    <x:font>
      <x:b/>
      <x:sz val="18"/>
      <x:name val="Arial"/>
    </x:font>
  </x:fonts>
  <x:fills count="3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1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F2F2F2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D9E1F2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1F4E78"/>
      </x:patternFill>
    </x:fill>
    <x:fill>
      <x:patternFill patternType="solid">
        <x:fgColor rgb="FFD9E1F2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D9E1F2"/>
      </x:patternFill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1F4E78"/>
      </x:patternFill>
    </x:fill>
    <x:fill>
      <x:patternFill patternType="solid">
        <x:fgColor rgb="FF173853"/>
      </x:patternFill>
    </x:fill>
    <x:fill>
      <x:patternFill patternType="solid">
        <x:fgColor rgb="FFF0F5F8"/>
      </x:patternFill>
    </x:fill>
    <x:fill>
      <x:patternFill patternType="solid">
        <x:fgColor rgb="FFFFF1C9"/>
      </x:patternFill>
    </x:fill>
  </x:fills>
  <x:borders count="2">
    <x:border/>
    <x:border/>
  </x:borders>
  <x:cellStyleXfs count="1">
    <x:xf numFmtId="0" fontId="0" fillId="0" borderId="0"/>
  </x:cellStyleXfs>
  <x:cellXfs count="3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203" fontId="4" fillId="0" borderId="0" xfId="0" applyNumberFormat="1" applyFont="1" applyFill="1" applyBorder="1"/>
    <x:xf numFmtId="203" fontId="4" fillId="0" borderId="1" xfId="0" applyNumberFormat="1" applyFont="1" applyFill="1" applyBorder="1"/>
    <x:xf numFmtId="204" fontId="3" fillId="0" borderId="0" xfId="0" applyNumberFormat="1" applyFont="1" applyFill="1" applyBorder="1"/>
    <x:xf numFmtId="204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top" wrapText="1"/>
    </x:xf>
    <x:xf numFmtId="205" fontId="3" fillId="0" borderId="0" xfId="0" applyNumberFormat="1" applyFont="1" applyFill="1" applyBorder="1"/>
    <x:xf numFmtId="205" fontId="3" fillId="0" borderId="1" xfId="0" applyNumberFormat="1" applyFont="1" applyFill="1" applyBorder="1"/>
    <x:xf numFmtId="206" fontId="3" fillId="0" borderId="0" xfId="0" applyNumberFormat="1" applyFont="1" applyFill="1" applyBorder="1"/>
    <x:xf numFmtId="206" fontId="4" fillId="0" borderId="0" xfId="0" applyNumberFormat="1" applyFont="1" applyFill="1" applyBorder="1"/>
    <x:xf numFmtId="206" fontId="3" fillId="0" borderId="1" xfId="0" applyNumberFormat="1" applyFont="1" applyFill="1" applyBorder="1"/>
    <x:xf numFmtId="206" fontId="4" fillId="0" borderId="1" xfId="0" applyNumberFormat="1" applyFont="1" applyFill="1" applyBorder="1"/>
    <x:xf numFmtId="207" fontId="3" fillId="0" borderId="0" xfId="0" applyNumberFormat="1" applyFont="1" applyFill="1" applyBorder="1"/>
    <x:xf numFmtId="207" fontId="3" fillId="0" borderId="1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1" xfId="0" applyNumberFormat="1" applyFont="1" applyFill="1" applyBorder="1"/>
    <x:xf numFmtId="0" fontId="9" fillId="6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3" fontId="0" fillId="7" borderId="0" xfId="0" applyNumberFormat="1" applyFont="1" applyFill="1" applyBorder="1"/>
    <x:xf numFmtId="206" fontId="0" fillId="7" borderId="0" xfId="0" applyNumberFormat="1" applyFont="1" applyFill="1" applyBorder="1"/>
    <x:xf numFmtId="203" fontId="10" fillId="7" borderId="0" xfId="0" applyNumberFormat="1" applyFont="1" applyFill="1" applyBorder="1"/>
    <x:xf numFmtId="206" fontId="10" fillId="7" borderId="0" xfId="0" applyNumberFormat="1" applyFont="1" applyFill="1" applyBorder="1"/>
    <x:xf numFmtId="203" fontId="0" fillId="7" borderId="1" xfId="0" applyNumberFormat="1" applyFont="1" applyFill="1" applyBorder="1"/>
    <x:xf numFmtId="206" fontId="0" fillId="7" borderId="1" xfId="0" applyNumberFormat="1" applyFont="1" applyFill="1" applyBorder="1"/>
    <x:xf numFmtId="203" fontId="10" fillId="7" borderId="1" xfId="0" applyNumberFormat="1" applyFont="1" applyFill="1" applyBorder="1"/>
    <x:xf numFmtId="206" fontId="10" fillId="7" borderId="1" xfId="0" applyNumberFormat="1" applyFont="1" applyFill="1" applyBorder="1"/>
    <x:xf numFmtId="0" fontId="3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3" fillId="8" borderId="1" xfId="0" applyNumberFormat="1" applyFont="1" applyFill="1" applyBorder="1"/>
    <x:xf numFmtId="0" fontId="2" fillId="8" borderId="1" xfId="0" applyNumberFormat="1" applyFont="1" applyFill="1" applyBorder="1"/>
    <x:xf numFmtId="0" fontId="2" fillId="8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0" fillId="9" borderId="1" xfId="0" applyNumberFormat="1" applyFont="1" applyFill="1" applyBorder="1"/>
    <x:xf numFmtId="0" fontId="8" fillId="9" borderId="1" xfId="0" applyNumberFormat="1" applyFont="1" applyFill="1" applyBorder="1"/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0" fillId="10" borderId="1" xfId="0" applyNumberFormat="1" applyFont="1" applyFill="1" applyBorder="1"/>
    <x:xf numFmtId="0" fontId="8" fillId="10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wrapText="1"/>
    </x:xf>
    <x:xf numFmtId="0" fontId="8" fillId="9" borderId="1" xfId="0" applyNumberFormat="1" applyFont="1" applyFill="1" applyBorder="1" applyAlignment="1">
      <x:alignment wrapText="1"/>
    </x:xf>
    <x:xf numFmtId="0" fontId="8" fillId="10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204" fontId="3" fillId="0" borderId="0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wrapText="1"/>
    </x:xf>
    <x:xf numFmtId="204" fontId="3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4" fillId="0" borderId="0" xfId="0" applyNumberFormat="1" applyFont="1" applyFill="1" applyBorder="1"/>
    <x:xf numFmtId="204" fontId="4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vertical="center" wrapText="1"/>
    </x:xf>
    <x:xf numFmtId="203" fontId="10" fillId="7" borderId="0" xfId="0" applyNumberFormat="1" applyFont="1" applyFill="1" applyBorder="1" applyAlignment="1">
      <x:alignment vertical="center"/>
    </x:xf>
    <x:xf numFmtId="0" fontId="2" fillId="8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4" fontId="4" fillId="0" borderId="0" xfId="0" applyNumberFormat="1" applyFont="1" applyFill="1" applyBorder="1" applyAlignment="1">
      <x:alignment vertical="center"/>
    </x:xf>
    <x:xf numFmtId="206" fontId="10" fillId="7" borderId="0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 applyAlignment="1">
      <x:alignment vertical="center" wrapText="1"/>
    </x:xf>
    <x:xf numFmtId="0" fontId="8" fillId="10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4" fontId="3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9" fillId="6" borderId="1" xfId="0" applyNumberFormat="1" applyFont="1" applyFill="1" applyBorder="1" applyAlignment="1">
      <x:alignment vertical="center" wrapText="1"/>
    </x:xf>
    <x:xf numFmtId="203" fontId="10" fillId="7" borderId="1" xfId="0" applyNumberFormat="1" applyFont="1" applyFill="1" applyBorder="1" applyAlignment="1">
      <x:alignment vertical="center"/>
    </x:xf>
    <x:xf numFmtId="0" fontId="2" fillId="8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204" fontId="4" fillId="0" borderId="1" xfId="0" applyNumberFormat="1" applyFont="1" applyFill="1" applyBorder="1" applyAlignment="1">
      <x:alignment vertical="center"/>
    </x:xf>
    <x:xf numFmtId="206" fontId="10" fillId="7" borderId="1" xfId="0" applyNumberFormat="1" applyFont="1" applyFill="1" applyBorder="1" applyAlignment="1">
      <x:alignment vertical="center"/>
    </x:xf>
    <x:xf numFmtId="0" fontId="8" fillId="9" borderId="1" xfId="0" applyNumberFormat="1" applyFont="1" applyFill="1" applyBorder="1" applyAlignment="1">
      <x:alignment vertical="center" wrapText="1"/>
    </x:xf>
    <x:xf numFmtId="0" fontId="8" fillId="10" borderId="1" xfId="0" applyNumberFormat="1" applyFont="1" applyFill="1" applyBorder="1" applyAlignment="1">
      <x:alignment vertical="center" wrapText="1"/>
    </x:xf>
    <x:xf numFmtId="0" fontId="8" fillId="4" borderId="1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204" fontId="3" fillId="0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/>
    </x:xf>
    <x:xf numFmtId="0" fontId="11" fillId="5" borderId="0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0" fontId="11" fillId="5" borderId="1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2" fontId="3" fillId="0" borderId="1" xfId="0" applyNumberFormat="1" applyFont="1" applyFill="1" applyBorder="1" applyAlignment="1">
      <x:alignment vertical="center"/>
    </x:xf>
    <x:xf numFmtId="203" fontId="4" fillId="0" borderId="1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 wrapText="1"/>
    </x:xf>
    <x:xf numFmtId="204" fontId="3" fillId="0" borderId="1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vertical="center" wrapText="1"/>
    </x:xf>
    <x:xf numFmtId="205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5" fontId="3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4" fillId="0" borderId="0" xfId="0" applyNumberFormat="1" applyFont="1" applyFill="1" applyBorder="1" applyAlignment="1">
      <x:alignment vertical="center"/>
    </x:xf>
    <x:xf numFmtId="207" fontId="3" fillId="0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 wrapText="1"/>
    </x:xf>
    <x:xf numFmtId="206" fontId="3" fillId="0" borderId="1" xfId="0" applyNumberFormat="1" applyFont="1" applyFill="1" applyBorder="1" applyAlignment="1">
      <x:alignment vertical="center"/>
    </x:xf>
    <x:xf numFmtId="206" fontId="4" fillId="0" borderId="1" xfId="0" applyNumberFormat="1" applyFont="1" applyFill="1" applyBorder="1" applyAlignment="1">
      <x:alignment vertical="center"/>
    </x:xf>
    <x:xf numFmtId="207" fontId="3" fillId="0" borderId="1" xfId="0" applyNumberFormat="1" applyFont="1" applyFill="1" applyBorder="1" applyAlignment="1">
      <x:alignment vertical="center"/>
    </x:xf>
    <x:xf numFmtId="0" fontId="8" fillId="6" borderId="1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2" fontId="3" fillId="0" borderId="1" xfId="0" applyNumberFormat="1" applyFont="1" applyFill="1" applyBorder="1" applyAlignment="1">
      <x:alignment vertical="center" wrapText="1"/>
    </x:xf>
    <x:xf numFmtId="203" fontId="4" fillId="0" borderId="1" xfId="0" applyNumberFormat="1" applyFont="1" applyFill="1" applyBorder="1" applyAlignment="1">
      <x:alignment vertical="center" wrapText="1"/>
    </x:xf>
    <x:xf numFmtId="201" fontId="3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205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5" fontId="3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6" fontId="3" fillId="0" borderId="0" xfId="0" applyNumberFormat="1" applyFont="1" applyFill="1" applyBorder="1" applyAlignment="1">
      <x:alignment vertical="center" wrapText="1"/>
    </x:xf>
    <x:xf numFmtId="206" fontId="4" fillId="0" borderId="0" xfId="0" applyNumberFormat="1" applyFont="1" applyFill="1" applyBorder="1" applyAlignment="1">
      <x:alignment vertical="center" wrapText="1"/>
    </x:xf>
    <x:xf numFmtId="207" fontId="3" fillId="0" borderId="0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206" fontId="3" fillId="0" borderId="1" xfId="0" applyNumberFormat="1" applyFont="1" applyFill="1" applyBorder="1" applyAlignment="1">
      <x:alignment vertical="center" wrapText="1"/>
    </x:xf>
    <x:xf numFmtId="206" fontId="4" fillId="0" borderId="1" xfId="0" applyNumberFormat="1" applyFont="1" applyFill="1" applyBorder="1" applyAlignment="1">
      <x:alignment vertical="center" wrapText="1"/>
    </x:xf>
    <x:xf numFmtId="207" fontId="3" fillId="0" borderId="1" xfId="0" applyNumberFormat="1" applyFont="1" applyFill="1" applyBorder="1" applyAlignment="1">
      <x:alignment vertical="center" wrapText="1"/>
    </x:xf>
    <x:xf numFmtId="0" fontId="11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wrapText="1"/>
    </x:xf>
    <x:xf numFmtId="0" fontId="2" fillId="13" borderId="0" xfId="0" applyNumberFormat="1" applyFont="1" applyFill="1" applyBorder="1" applyAlignment="1">
      <x:alignment horizontal="center" wrapText="1"/>
    </x:xf>
    <x:xf numFmtId="0" fontId="2" fillId="13" borderId="0" xfId="0" applyNumberFormat="1" applyFont="1" applyFill="1" applyBorder="1" applyAlignment="1">
      <x:alignment horizontal="center" vertical="center" wrapText="1"/>
    </x:xf>
    <x:xf numFmtId="203" fontId="3" fillId="0" borderId="0" xfId="0" applyNumberFormat="1" applyFont="1" applyFill="1" applyBorder="1"/>
    <x:xf numFmtId="205" fontId="3" fillId="0" borderId="0" xfId="0" applyNumberFormat="1" applyFont="1" applyFill="1" applyBorder="1" applyAlignment="1">
      <x:alignment wrapText="1"/>
    </x:xf>
    <x:xf numFmtId="203" fontId="3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7" fillId="14" borderId="0" xfId="0" applyNumberFormat="1" applyFont="1" applyFill="1" applyBorder="1"/>
    <x:xf numFmtId="206" fontId="3" fillId="0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8" fillId="15" borderId="0" xfId="0" applyNumberFormat="1" applyFont="1" applyFill="1" applyBorder="1"/>
    <x:xf numFmtId="0" fontId="8" fillId="15" borderId="0" xfId="0" applyNumberFormat="1" applyFont="1" applyFill="1" applyBorder="1" applyAlignment="1">
      <x:alignment wrapText="1"/>
    </x:xf>
    <x:xf numFmtId="0" fontId="8" fillId="15" borderId="0" xfId="0" applyNumberFormat="1" applyFont="1" applyFill="1" applyBorder="1" applyAlignment="1">
      <x:alignment vertical="top" wrapText="1"/>
    </x:xf>
    <x:xf numFmtId="203" fontId="3" fillId="0" borderId="0" xfId="0" applyNumberFormat="1" applyFont="1" applyFill="1" applyBorder="1" applyAlignment="1">
      <x:alignment vertical="center" wrapText="1"/>
    </x:xf>
    <x:xf numFmtId="0" fontId="3" fillId="15" borderId="0" xfId="0" applyNumberFormat="1" applyFont="1" applyFill="1" applyBorder="1" applyAlignment="1">
      <x:alignment vertical="center" wrapText="1"/>
    </x:xf>
    <x:xf numFmtId="0" fontId="2" fillId="16" borderId="0" xfId="0" applyNumberFormat="1" applyFont="1" applyFill="1" applyBorder="1" applyAlignment="1">
      <x:alignment vertical="center" wrapText="1"/>
    </x:xf>
    <x:xf numFmtId="0" fontId="8" fillId="14" borderId="0" xfId="0" applyNumberFormat="1" applyFont="1" applyFill="1" applyBorder="1" applyAlignment="1">
      <x:alignment vertical="center"/>
    </x:xf>
    <x:xf numFmtId="0" fontId="7" fillId="14" borderId="0" xfId="0" applyNumberFormat="1" applyFont="1" applyFill="1" applyBorder="1" applyAlignment="1">
      <x:alignment vertical="center"/>
    </x:xf>
    <x:xf numFmtId="0" fontId="7" fillId="14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vertical="center"/>
    </x:xf>
    <x:xf numFmtId="0" fontId="0" fillId="18" borderId="0" xfId="0" applyNumberFormat="1" applyFont="1" applyFill="1" applyBorder="1"/>
    <x:xf numFmtId="0" fontId="9" fillId="18" borderId="0" xfId="0" applyNumberFormat="1" applyFont="1" applyFill="1" applyBorder="1"/>
    <x:xf numFmtId="0" fontId="9" fillId="18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7" fillId="19" borderId="0" xfId="0" applyNumberFormat="1" applyFont="1" applyFill="1" applyBorder="1"/>
    <x:xf numFmtId="0" fontId="7" fillId="19" borderId="0" xfId="0" applyNumberFormat="1" applyFont="1" applyFill="1" applyBorder="1" applyAlignment="1">
      <x:alignment vertical="center"/>
    </x:xf>
    <x:xf numFmtId="0" fontId="0" fillId="20" borderId="0" xfId="0" applyNumberFormat="1" applyFont="1" applyFill="1" applyBorder="1"/>
    <x:xf numFmtId="0" fontId="2" fillId="20" borderId="0" xfId="0" applyNumberFormat="1" applyFont="1" applyFill="1" applyBorder="1"/>
    <x:xf numFmtId="0" fontId="2" fillId="20" borderId="0" xfId="0" applyNumberFormat="1" applyFont="1" applyFill="1" applyBorder="1" applyAlignment="1">
      <x:alignment wrapText="1"/>
    </x:xf>
    <x:xf numFmtId="0" fontId="2" fillId="20" borderId="0" xfId="0" applyNumberFormat="1" applyFont="1" applyFill="1" applyBorder="1" applyAlignment="1">
      <x:alignment horizontal="center" wrapText="1"/>
    </x:xf>
    <x:xf numFmtId="0" fontId="2" fillId="20" borderId="0" xfId="0" applyNumberFormat="1" applyFont="1" applyFill="1" applyBorder="1" applyAlignment="1">
      <x:alignment horizontal="center" vertical="center" wrapText="1"/>
    </x:xf>
    <x:xf numFmtId="208" fontId="3" fillId="0" borderId="0" xfId="0" applyNumberFormat="1" applyFont="1" applyFill="1" applyBorder="1"/>
    <x:xf numFmtId="202" fontId="4" fillId="0" borderId="0" xfId="0" applyNumberFormat="1" applyFont="1" applyFill="1" applyBorder="1"/>
    <x:xf numFmtId="209" fontId="4" fillId="0" borderId="0" xfId="0" applyNumberFormat="1" applyFont="1" applyFill="1" applyBorder="1"/>
    <x:xf numFmtId="210" fontId="4" fillId="0" borderId="0" xfId="0" applyNumberFormat="1" applyFont="1" applyFill="1" applyBorder="1"/>
    <x:xf numFmtId="202" fontId="3" fillId="0" borderId="0" xfId="0" applyNumberFormat="1" applyFont="1" applyFill="1" applyBorder="1" applyAlignment="1">
      <x:alignment wrapText="1"/>
    </x:xf>
    <x:xf numFmtId="203" fontId="4" fillId="0" borderId="0" xfId="0" applyNumberFormat="1" applyFont="1" applyFill="1" applyBorder="1" applyAlignment="1">
      <x:alignment wrapText="1"/>
    </x:xf>
    <x:xf numFmtId="202" fontId="4" fillId="0" borderId="0" xfId="0" applyNumberFormat="1" applyFont="1" applyFill="1" applyBorder="1" applyAlignment="1">
      <x:alignment wrapText="1"/>
    </x:xf>
    <x:xf numFmtId="210" fontId="4" fillId="0" borderId="0" xfId="0" applyNumberFormat="1" applyFont="1" applyFill="1" applyBorder="1" applyAlignment="1">
      <x:alignment wrapText="1"/>
    </x:xf>
    <x:xf numFmtId="209" fontId="4" fillId="0" borderId="0" xfId="0" applyNumberFormat="1" applyFont="1" applyFill="1" applyBorder="1" applyAlignment="1">
      <x:alignment wrapText="1"/>
    </x:xf>
    <x:xf numFmtId="0" fontId="3" fillId="21" borderId="0" xfId="0" applyNumberFormat="1" applyFont="1" applyFill="1" applyBorder="1" applyAlignment="1">
      <x:alignment wrapText="1"/>
    </x:xf>
    <x:xf numFmtId="0" fontId="12" fillId="21" borderId="0" xfId="0" applyNumberFormat="1" applyFont="1" applyFill="1" applyBorder="1" applyAlignment="1">
      <x:alignment wrapText="1"/>
    </x:xf>
    <x:xf numFmtId="0" fontId="3" fillId="22" borderId="0" xfId="0" applyNumberFormat="1" applyFont="1" applyFill="1" applyBorder="1" applyAlignment="1">
      <x:alignment wrapText="1"/>
    </x:xf>
    <x:xf numFmtId="0" fontId="12" fillId="22" borderId="0" xfId="0" applyNumberFormat="1" applyFont="1" applyFill="1" applyBorder="1" applyAlignment="1">
      <x:alignment wrapText="1"/>
    </x:xf>
    <x:xf numFmtId="0" fontId="8" fillId="18" borderId="0" xfId="0" applyNumberFormat="1" applyFont="1" applyFill="1" applyBorder="1"/>
    <x:xf numFmtId="0" fontId="8" fillId="18" borderId="0" xfId="0" applyNumberFormat="1" applyFont="1" applyFill="1" applyBorder="1" applyAlignment="1">
      <x:alignment wrapText="1"/>
    </x:xf>
    <x:xf numFmtId="0" fontId="8" fillId="18" borderId="0" xfId="0" applyNumberFormat="1" applyFont="1" applyFill="1" applyBorder="1" applyAlignment="1">
      <x:alignment vertical="top" wrapText="1"/>
    </x:xf>
    <x:xf numFmtId="0" fontId="8" fillId="19" borderId="0" xfId="0" applyNumberFormat="1" applyFont="1" applyFill="1" applyBorder="1" applyAlignment="1">
      <x:alignment vertical="center"/>
    </x:xf>
    <x:xf numFmtId="0" fontId="7" fillId="19" borderId="0" xfId="0" applyNumberFormat="1" applyFont="1" applyFill="1" applyBorder="1" applyAlignment="1">
      <x:alignment vertical="center" wrapText="1"/>
    </x:xf>
    <x:xf numFmtId="0" fontId="8" fillId="20" borderId="0" xfId="0" applyNumberFormat="1" applyFont="1" applyFill="1" applyBorder="1" applyAlignment="1">
      <x:alignment vertical="center"/>
    </x:xf>
    <x:xf numFmtId="0" fontId="2" fillId="20" borderId="0" xfId="0" applyNumberFormat="1" applyFont="1" applyFill="1" applyBorder="1" applyAlignment="1">
      <x:alignment vertical="center"/>
    </x:xf>
    <x:xf numFmtId="0" fontId="2" fillId="20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vertical="center"/>
    </x:xf>
    <x:xf numFmtId="202" fontId="13" fillId="0" borderId="0" xfId="0" applyNumberFormat="1" applyFont="1" applyFill="1" applyBorder="1" applyAlignment="1">
      <x:alignment vertical="center"/>
    </x:xf>
    <x:xf numFmtId="209" fontId="13" fillId="0" borderId="0" xfId="0" applyNumberFormat="1" applyFont="1" applyFill="1" applyBorder="1" applyAlignment="1">
      <x:alignment vertical="center"/>
    </x:xf>
    <x:xf numFmtId="204" fontId="8" fillId="0" borderId="0" xfId="0" applyNumberFormat="1" applyFont="1" applyFill="1" applyBorder="1" applyAlignment="1">
      <x:alignment vertical="center"/>
    </x:xf>
    <x:xf numFmtId="202" fontId="13" fillId="0" borderId="0" xfId="0" applyNumberFormat="1" applyFont="1" applyFill="1" applyBorder="1" applyAlignment="1">
      <x:alignment vertical="center" wrapText="1"/>
    </x:xf>
    <x:xf numFmtId="209" fontId="13" fillId="0" borderId="0" xfId="0" applyNumberFormat="1" applyFont="1" applyFill="1" applyBorder="1" applyAlignment="1">
      <x:alignment vertical="center" wrapText="1"/>
    </x:xf>
    <x:xf numFmtId="204" fontId="8" fillId="0" borderId="0" xfId="0" applyNumberFormat="1" applyFont="1" applyFill="1" applyBorder="1" applyAlignment="1">
      <x:alignment vertical="center" wrapText="1"/>
    </x:xf>
    <x:xf numFmtId="0" fontId="8" fillId="21" borderId="0" xfId="0" applyNumberFormat="1" applyFont="1" applyFill="1" applyBorder="1" applyAlignment="1">
      <x:alignment vertical="center" wrapText="1"/>
    </x:xf>
    <x:xf numFmtId="0" fontId="6" fillId="21" borderId="0" xfId="0" applyNumberFormat="1" applyFont="1" applyFill="1" applyBorder="1" applyAlignment="1">
      <x:alignment vertical="center" wrapText="1"/>
    </x:xf>
    <x:xf numFmtId="0" fontId="8" fillId="22" borderId="0" xfId="0" applyNumberFormat="1" applyFont="1" applyFill="1" applyBorder="1" applyAlignment="1">
      <x:alignment vertical="center" wrapText="1"/>
    </x:xf>
    <x:xf numFmtId="0" fontId="6" fillId="22" borderId="0" xfId="0" applyNumberFormat="1" applyFont="1" applyFill="1" applyBorder="1" applyAlignment="1">
      <x:alignment vertical="center" wrapText="1"/>
    </x:xf>
    <x:xf numFmtId="211" fontId="4" fillId="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wrapText="1"/>
    </x:xf>
    <x:xf numFmtId="0" fontId="12" fillId="1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2" fillId="4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6" fillId="1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23" borderId="0" xfId="0" applyNumberFormat="1" applyFont="1" applyFill="1" applyBorder="1"/>
    <x:xf numFmtId="0" fontId="2" fillId="23" borderId="0" xfId="0" applyNumberFormat="1" applyFont="1" applyFill="1" applyBorder="1"/>
    <x:xf numFmtId="0" fontId="2" fillId="24" borderId="0" xfId="0" applyNumberFormat="1" applyFont="1" applyFill="1" applyBorder="1" applyAlignment="1">
      <x:alignment vertical="center" wrapText="1"/>
    </x:xf>
    <x:xf numFmtId="0" fontId="2" fillId="25" borderId="0" xfId="0" applyNumberFormat="1" applyFont="1" applyFill="1" applyBorder="1" applyAlignment="1">
      <x:alignment horizontal="center" vertical="center" wrapText="1"/>
    </x:xf>
    <x:xf numFmtId="203" fontId="3" fillId="0" borderId="0" xfId="0" applyNumberFormat="1" applyFont="1" applyFill="1" applyBorder="1" applyAlignment="1">
      <x:alignment vertical="center"/>
    </x:xf>
    <x:xf numFmtId="204" fontId="13" fillId="0" borderId="0" xfId="0" applyNumberFormat="1" applyFont="1" applyFill="1" applyBorder="1" applyAlignment="1">
      <x:alignment vertical="center" wrapText="1"/>
    </x:xf>
    <x:xf numFmtId="210" fontId="13" fillId="0" borderId="0" xfId="0" applyNumberFormat="1" applyFont="1" applyFill="1" applyBorder="1" applyAlignment="1">
      <x:alignment vertical="center" wrapText="1"/>
    </x:xf>
    <x:xf numFmtId="0" fontId="12" fillId="4" borderId="0" xfId="0" applyNumberFormat="1" applyFont="1" applyFill="1" applyBorder="1" applyAlignment="1">
      <x:alignment vertical="center" wrapText="1"/>
    </x:xf>
    <x:xf numFmtId="203" fontId="12" fillId="4" borderId="0" xfId="0" applyNumberFormat="1" applyFont="1" applyFill="1" applyBorder="1" applyAlignment="1">
      <x:alignment vertical="center" wrapText="1"/>
    </x:xf>
    <x:xf numFmtId="0" fontId="8" fillId="23" borderId="0" xfId="0" applyNumberFormat="1" applyFont="1" applyFill="1" applyBorder="1" applyAlignment="1">
      <x:alignment vertical="center" wrapText="1"/>
    </x:xf>
    <x:xf numFmtId="0" fontId="6" fillId="23" borderId="0" xfId="0" applyNumberFormat="1" applyFont="1" applyFill="1" applyBorder="1" applyAlignment="1">
      <x:alignment vertical="center" wrapText="1"/>
    </x:xf>
    <x:xf numFmtId="0" fontId="8" fillId="26" borderId="0" xfId="0" applyNumberFormat="1" applyFont="1" applyFill="1" applyBorder="1" applyAlignment="1">
      <x:alignment vertical="center"/>
    </x:xf>
    <x:xf numFmtId="0" fontId="7" fillId="26" borderId="0" xfId="0" applyNumberFormat="1" applyFont="1" applyFill="1" applyBorder="1" applyAlignment="1">
      <x:alignment vertical="center"/>
    </x:xf>
    <x:xf numFmtId="0" fontId="8" fillId="27" borderId="0" xfId="0" applyNumberFormat="1" applyFont="1" applyFill="1" applyBorder="1" applyAlignment="1">
      <x:alignment vertical="center"/>
    </x:xf>
    <x:xf numFmtId="0" fontId="8" fillId="27" borderId="0" xfId="0" applyNumberFormat="1" applyFont="1" applyFill="1" applyBorder="1" applyAlignment="1">
      <x:alignment vertical="center" wrapText="1"/>
    </x:xf>
    <x:xf numFmtId="0" fontId="8" fillId="27" borderId="0" xfId="0" applyNumberFormat="1" applyFont="1" applyFill="1" applyBorder="1" applyAlignment="1">
      <x:alignment vertical="top" wrapText="1"/>
    </x:xf>
    <x:xf numFmtId="0" fontId="7" fillId="26" borderId="0" xfId="0" applyNumberFormat="1" applyFont="1" applyFill="1" applyBorder="1" applyAlignment="1">
      <x:alignment vertical="center" wrapText="1"/>
    </x:xf>
    <x:xf numFmtId="211" fontId="4" fillId="0" borderId="0" xfId="0" applyNumberFormat="1" applyFont="1" applyFill="1" applyBorder="1"/>
    <x:xf numFmtId="211" fontId="13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14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28" borderId="0" xfId="0" applyNumberFormat="1" applyFont="1" applyFill="1" applyBorder="1"/>
    <x:xf numFmtId="0" fontId="11" fillId="28" borderId="0" xfId="0" applyNumberFormat="1" applyFont="1" applyFill="1" applyBorder="1"/>
    <x:xf numFmtId="0" fontId="11" fillId="28" borderId="0" xfId="0" applyNumberFormat="1" applyFont="1" applyFill="1" applyBorder="1" applyAlignment="1">
      <x:alignment wrapText="1"/>
    </x:xf>
    <x:xf numFmtId="205" fontId="8" fillId="0" borderId="0" xfId="0" applyNumberFormat="1" applyFont="1" applyFill="1" applyBorder="1"/>
    <x:xf numFmtId="212" fontId="8" fillId="0" borderId="0" xfId="0" applyNumberFormat="1" applyFont="1" applyFill="1" applyBorder="1"/>
    <x:xf numFmtId="206" fontId="8" fillId="0" borderId="0" xfId="0" applyNumberFormat="1" applyFont="1" applyFill="1" applyBorder="1"/>
    <x:xf numFmtId="208" fontId="8" fillId="0" borderId="0" xfId="0" applyNumberFormat="1" applyFont="1" applyFill="1" applyBorder="1"/>
    <x:xf numFmtId="213" fontId="8" fillId="0" borderId="0" xfId="0" applyNumberFormat="1" applyFont="1" applyFill="1" applyBorder="1"/>
    <x:xf numFmtId="200" fontId="8" fillId="0" borderId="0" xfId="0" applyNumberFormat="1" applyFont="1" applyFill="1" applyBorder="1" applyAlignment="1">
      <x:alignment vertical="center"/>
    </x:xf>
    <x:xf numFmtId="207" fontId="8" fillId="0" borderId="0" xfId="0" applyNumberFormat="1" applyFont="1" applyFill="1" applyBorder="1" applyAlignment="1">
      <x:alignment vertical="center"/>
    </x:xf>
    <x:xf numFmtId="212" fontId="13" fillId="0" borderId="0" xfId="0" applyNumberFormat="1" applyFont="1" applyFill="1" applyBorder="1" applyAlignment="1">
      <x:alignment vertical="center" wrapText="1"/>
    </x:xf>
    <x:xf numFmtId="208" fontId="12" fillId="4" borderId="0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/>
    <x:xf numFmtId="0" fontId="16" fillId="0" borderId="0" xfId="0" applyNumberFormat="1" applyFont="1" applyFill="1" applyBorder="1"/>
    <x:xf numFmtId="0" fontId="17" fillId="0" borderId="0" xfId="0" applyNumberFormat="1" applyFont="1" applyFill="1" applyBorder="1"/>
    <x:xf numFmtId="214" fontId="3" fillId="0" borderId="0" xfId="0" applyNumberFormat="1" applyFont="1" applyFill="1" applyBorder="1"/>
    <x:xf numFmtId="204" fontId="8" fillId="0" borderId="0" xfId="0" applyNumberFormat="1" applyFont="1" applyFill="1" applyBorder="1"/>
    <x:xf numFmtId="215" fontId="8" fillId="0" borderId="0" xfId="0" applyNumberFormat="1" applyFont="1" applyFill="1" applyBorder="1"/>
    <x:xf numFmtId="0" fontId="8" fillId="29" borderId="0" xfId="0" applyNumberFormat="1" applyFont="1" applyFill="1" applyBorder="1"/>
    <x:xf numFmtId="0" fontId="11" fillId="29" borderId="0" xfId="0" applyNumberFormat="1" applyFont="1" applyFill="1" applyBorder="1"/>
    <x:xf numFmtId="0" fontId="11" fillId="29" borderId="0" xfId="0" applyNumberFormat="1" applyFont="1" applyFill="1" applyBorder="1" applyAlignment="1">
      <x:alignment wrapText="1"/>
    </x:xf>
    <x:xf numFmtId="0" fontId="8" fillId="30" borderId="0" xfId="0" applyNumberFormat="1" applyFont="1" applyFill="1" applyBorder="1"/>
    <x:xf numFmtId="0" fontId="8" fillId="31" borderId="0" xfId="0" applyNumberFormat="1" applyFont="1" applyFill="1" applyBorder="1"/>
    <x:xf numFmtId="216" fontId="8" fillId="30" borderId="0" xfId="0" applyNumberFormat="1" applyFont="1" applyFill="1" applyBorder="1"/>
    <x:xf numFmtId="216" fontId="8" fillId="0" borderId="0" xfId="0" applyNumberFormat="1" applyFont="1" applyFill="1" applyBorder="1"/>
    <x:xf numFmtId="216" fontId="8" fillId="31" borderId="0" xfId="0" applyNumberFormat="1" applyFont="1" applyFill="1" applyBorder="1"/>
    <x:xf numFmtId="212" fontId="8" fillId="30" borderId="0" xfId="0" applyNumberFormat="1" applyFont="1" applyFill="1" applyBorder="1"/>
    <x:xf numFmtId="217" fontId="8" fillId="30" borderId="0" xfId="0" applyNumberFormat="1" applyFont="1" applyFill="1" applyBorder="1"/>
    <x:xf numFmtId="217" fontId="8" fillId="0" borderId="0" xfId="0" applyNumberFormat="1" applyFont="1" applyFill="1" applyBorder="1"/>
    <x:xf numFmtId="0" fontId="6" fillId="0" borderId="0" xfId="0" applyNumberFormat="1" applyFont="1" applyFill="1" applyBorder="1"/>
    <x:xf numFmtId="216" fontId="6" fillId="0" borderId="0" xfId="0" applyNumberFormat="1" applyFont="1" applyFill="1" applyBorder="1"/>
    <x:xf numFmtId="206" fontId="6" fillId="0" borderId="0" xfId="0" applyNumberFormat="1" applyFont="1" applyFill="1" applyBorder="1"/>
    <x:xf numFmtId="212" fontId="3" fillId="0" borderId="0" xfId="0" applyNumberFormat="1" applyFont="1" applyFill="1" applyBorder="1"/>
  </x:cellXfs>
  <x:cellStyles count="1">
    <x:cellStyle name="Normal" xfId="0"/>
  </x:cellStyles>
  <x:dxfs count="11">
    <x:dxf>
      <x:font>
        <x:b/>
      </x:font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d30c92642b4258" /><Relationship Type="http://schemas.openxmlformats.org/officeDocument/2006/relationships/theme" Target="/xl/theme/theme1.xml" Id="R4aa4be88089d4263" /><Relationship Type="http://schemas.openxmlformats.org/officeDocument/2006/relationships/sharedStrings" Target="/xl/sharedStrings.xml" Id="R3aea623861ec4259" /><Relationship Type="http://schemas.openxmlformats.org/officeDocument/2006/relationships/worksheet" Target="/xl/worksheets/sheet1.xml" Id="R140abdf93d2249ea" /><Relationship Type="http://schemas.openxmlformats.org/officeDocument/2006/relationships/worksheet" Target="/xl/worksheets/sheet2.xml" Id="R6502c9c664b14e83" /><Relationship Type="http://schemas.openxmlformats.org/officeDocument/2006/relationships/worksheet" Target="/xl/worksheets/sheet3.xml" Id="R0554c9f356184867" /><Relationship Type="http://schemas.openxmlformats.org/officeDocument/2006/relationships/worksheet" Target="/xl/worksheets/sheet4.xml" Id="Rf56c44d2a70f4835" /><Relationship Type="http://schemas.openxmlformats.org/officeDocument/2006/relationships/worksheet" Target="/xl/worksheets/sheet5.xml" Id="Ra21d140c2f0c480f" /><Relationship Type="http://schemas.openxmlformats.org/officeDocument/2006/relationships/worksheet" Target="/xl/worksheets/sheet6.xml" Id="R7ad17d74d0a54858" /><Relationship Type="http://schemas.openxmlformats.org/officeDocument/2006/relationships/worksheet" Target="/xl/worksheets/sheet7.xml" Id="R96215cbdccfa44d1" /><Relationship Type="http://schemas.openxmlformats.org/officeDocument/2006/relationships/worksheet" Target="/xl/worksheets/sheet8.xml" Id="Ra39b56737f394bb2" /><Relationship Type="http://schemas.openxmlformats.org/officeDocument/2006/relationships/worksheet" Target="/xl/worksheets/sheet9.xml" Id="Rdb4c7e8eb9be43ce" /><Relationship Type="http://schemas.openxmlformats.org/officeDocument/2006/relationships/worksheet" Target="/xl/worksheets/sheet10.xml" Id="Rd320cc33c6b3404e" /><Relationship Type="http://schemas.openxmlformats.org/officeDocument/2006/relationships/worksheet" Target="/xl/worksheets/sheet11.xml" Id="Ra5e9d5c74ca641b4" /><Relationship Type="http://schemas.openxmlformats.org/officeDocument/2006/relationships/worksheet" Target="/xl/worksheets/sheet12.xml" Id="R8d4abe660fc94b4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25e5b7e9285426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4e87949afbe9494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Aratu Naphtha: Completed vs Live / Forward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Completed kt</c:v>
          </c:tx>
          <c:cat>
            <c:strRef>
              <c:f>'Dashboard'!$H$6:$H$8</c:f>
              <c:strCache>
                <c:ptCount val="0"/>
              </c:strCache>
            </c:strRef>
          </c:cat>
          <c:val>
            <c:numRef>
              <c:f>'Dashboard'!$I$6:$I$8</c:f>
              <c:numCache>
                <c:formatCode>0.0;[Red](0.0);-</c:formatCode>
                <c:ptCount val="0"/>
              </c:numCache>
            </c:numRef>
          </c:val>
        </c:ser>
        <c:ser>
          <c:idx val="1"/>
          <c:order val="1"/>
          <c:tx>
            <c:v>Live / Forward kt</c:v>
          </c:tx>
          <c:cat>
            <c:strRef>
              <c:f>'Dashboard'!$H$6:$H$8</c:f>
              <c:strCache>
                <c:ptCount val="0"/>
              </c:strCache>
            </c:strRef>
          </c:cat>
          <c:val>
            <c:numRef>
              <c:f>'Dashboard'!$J$6:$J$8</c:f>
              <c:numCache>
                <c:formatCode>0.0;[Red](0.0);-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Brazil Naphtha Imports — 2026 YTD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ANP Brazil Naphtha Imports (m³)</c:v>
          </c:tx>
          <c:marker>
            <c:symbol val="none"/>
          </c:marker>
          <c:cat>
            <c:strRef>
              <c:f>'2026 Reconstruction'!$A$13:$A$19</c:f>
              <c:strCache>
                <c:ptCount val="0"/>
              </c:strCache>
            </c:strRef>
          </c:cat>
          <c:val>
            <c:numRef>
              <c:f>'2026 Reconstruction'!$B$13:$B$19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10</xdr:row>
      <xdr:rowOff>0</xdr:rowOff>
    </xdr:from>
    <xdr:to>
      <xdr:col>10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5e5b7e9285426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28</xdr:row>
      <xdr:rowOff>0</xdr:rowOff>
    </xdr:from>
    <xdr:to>
      <xdr:col>14</xdr:col>
      <xdr:colOff>0</xdr:colOff>
      <xdr:row>41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87949afbe9494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rrivalsTable" displayName="ArrivalsTable" ref="A2:P8" headerRowCount="1" totalsRowCount="0" totalsRowShown="0">
  <x:tableColumns count="16">
    <x:tableColumn id="1" name="ETB / Arrival Date"/>
    <x:tableColumn id="2" name="Vessel"/>
    <x:tableColumn id="3" name="Port / Terminal"/>
    <x:tableColumn id="4" name="Status"/>
    <x:tableColumn id="5" name="Cargo"/>
    <x:tableColumn id="6" name="Quantity (kg)"/>
    <x:tableColumn id="7" name="Quantity (kt)"/>
    <x:tableColumn id="8" name="Operator"/>
    <x:tableColumn id="9" name="Braskem Confirmed?"/>
    <x:tableColumn id="10" name="Fleet Type"/>
    <x:tableColumn id="11" name="ETA"/>
    <x:tableColumn id="12" name="ETD"/>
    <x:tableColumn id="13" name="Evidence Tier"/>
    <x:tableColumn id="14" name="Source URL"/>
    <x:tableColumn id="15" name="Source As-of"/>
    <x:tableColumn id="1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xtureEvidenceTable" displayName="FixtureEvidenceTable" ref="A2:L7" headerRowCount="1" totalsRowCount="0" totalsRowShown="0">
  <x:tableColumns count="12">
    <x:tableColumn id="1" name="Fixture / Load Date"/>
    <x:tableColumn id="2" name="Vessel"/>
    <x:tableColumn id="3" name="Size (kt)"/>
    <x:tableColumn id="4" name="Product"/>
    <x:tableColumn id="5" name="Route"/>
    <x:tableColumn id="6" name="Charterer"/>
    <x:tableColumn id="7" name="Evidence Type"/>
    <x:tableColumn id="8" name="Year"/>
    <x:tableColumn id="9" name="Future Fleet?"/>
    <x:tableColumn id="10" name="Source URL"/>
    <x:tableColumn id="11" name="Confidence"/>
    <x:tableColumn id="12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c40d789c11c47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169ebaca6442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afb9b4e40743c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2.xml" Id="Ra33e44594fda4304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24" hidden="0" customWidth="1"/>
    <x:col min="4" max="4" width="38" hidden="0" customWidth="1"/>
    <x:col min="5" max="5" width="18" hidden="0" customWidth="1"/>
    <x:col min="6" max="6" width="34" hidden="0" customWidth="1"/>
    <x:col min="7" max="7" width="3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26" customHeight="1">
      <x:c r="A1" s="4" t="str">
        <x:v>Braskem Naphtha Arrival Monitor</x:v>
      </x:c>
      <x:c r="B1" s="4"/>
      <x:c r="C1" s="4"/>
      <x:c r="D1" s="4"/>
      <x:c r="E1" s="4"/>
      <x:c r="F1" s="4"/>
      <x:c r="G1" s="4"/>
      <x:c r="H1" s="4"/>
      <x:c r="I1" s="4"/>
      <x:c r="J1" s="4"/>
      <x:c r="K1" s="112"/>
      <x:c r="L1" s="112"/>
      <x:c r="M1" s="112"/>
      <x:c r="N1" s="112"/>
      <x:c r="O1" s="112"/>
      <x:c r="P1" s="112"/>
      <x:c r="Q1" s="112"/>
      <x:c r="R1" s="112"/>
      <x:c r="S1" s="112"/>
      <x:c r="T1" s="112"/>
      <x:c r="U1" s="112"/>
      <x:c r="V1" s="112"/>
      <x:c r="W1" s="112"/>
      <x:c r="X1" s="112"/>
      <x:c r="Y1" s="112"/>
      <x:c r="Z1" s="112"/>
    </x:row>
    <x:row r="2">
      <x:c r="A2" s="113" t="str">
        <x:v>As of 12-Oct-2026. Official imports unchanged through August. Port quantities are planned until discharge is confirmed.</x:v>
      </x:c>
      <x:c r="B2" s="113"/>
      <x:c r="C2" s="113"/>
      <x:c r="D2" s="113"/>
      <x:c r="E2" s="113"/>
      <x:c r="F2" s="113"/>
      <x:c r="G2" s="113"/>
      <x:c r="H2" s="113"/>
      <x:c r="I2" s="113"/>
      <x:c r="J2" s="113"/>
      <x:c r="K2" s="136"/>
      <x:c r="L2" s="136"/>
      <x:c r="M2" s="136"/>
      <x:c r="N2" s="136"/>
      <x:c r="O2" s="136"/>
      <x:c r="P2" s="136"/>
      <x:c r="Q2" s="136"/>
      <x:c r="R2" s="136"/>
      <x:c r="S2" s="136"/>
      <x:c r="T2" s="136"/>
      <x:c r="U2" s="136"/>
      <x:c r="V2" s="136"/>
      <x:c r="W2" s="136"/>
      <x:c r="X2" s="136"/>
      <x:c r="Y2" s="136"/>
      <x:c r="Z2" s="136"/>
    </x:row>
    <x:row r="3">
      <x:c r="A3" s="136"/>
      <x:c r="B3" s="136"/>
      <x:c r="C3" s="136"/>
      <x:c r="D3" s="136"/>
      <x:c r="E3" s="136"/>
      <x:c r="F3" s="136"/>
      <x:c r="G3" s="136"/>
      <x:c r="H3" s="136"/>
      <x:c r="I3" s="136"/>
      <x:c r="J3" s="136"/>
      <x:c r="K3" s="136"/>
      <x:c r="L3" s="136"/>
      <x:c r="M3" s="136"/>
      <x:c r="N3" s="136"/>
      <x:c r="O3" s="136"/>
      <x:c r="P3" s="136"/>
      <x:c r="Q3" s="136"/>
      <x:c r="R3" s="136"/>
      <x:c r="S3" s="136"/>
      <x:c r="T3" s="136"/>
      <x:c r="U3" s="136"/>
      <x:c r="V3" s="136"/>
      <x:c r="W3" s="136"/>
      <x:c r="X3" s="136"/>
      <x:c r="Y3" s="136"/>
      <x:c r="Z3" s="136"/>
    </x:row>
    <x:row r="4">
      <x:c r="A4" s="137" t="str">
        <x:v>Aratu snapshot — retained August completions and current queue</x:v>
      </x:c>
      <x:c r="B4" s="137"/>
      <x:c r="C4" s="137"/>
      <x:c r="D4" s="137"/>
      <x:c r="E4" s="137"/>
      <x:c r="F4" s="137"/>
      <x:c r="G4" s="137"/>
      <x:c r="H4" s="137"/>
      <x:c r="I4" s="137"/>
      <x:c r="J4" s="137"/>
      <x:c r="K4" s="136"/>
      <x:c r="L4" s="136"/>
      <x:c r="M4" s="136"/>
      <x:c r="N4" s="136"/>
      <x:c r="O4" s="136"/>
      <x:c r="P4" s="136"/>
      <x:c r="Q4" s="136"/>
      <x:c r="R4" s="136"/>
      <x:c r="S4" s="136"/>
      <x:c r="T4" s="136"/>
      <x:c r="U4" s="136"/>
      <x:c r="V4" s="136"/>
      <x:c r="W4" s="136"/>
      <x:c r="X4" s="136"/>
      <x:c r="Y4" s="136"/>
      <x:c r="Z4" s="136"/>
    </x:row>
    <x:row r="5">
      <x:c r="A5" s="12" t="str">
        <x:v>Metric</x:v>
      </x:c>
      <x:c r="B5" s="12" t="str">
        <x:v>Value</x:v>
      </x:c>
      <x:c r="C5" s="136"/>
      <x:c r="D5" s="12" t="str">
        <x:v>Thesis Read</x:v>
      </x:c>
      <x:c r="E5" s="12" t="str">
        <x:v>Current Evidence</x:v>
      </x:c>
      <x:c r="F5" s="12" t="str">
        <x:v>Interpretation</x:v>
      </x:c>
      <x:c r="G5" s="136"/>
      <x:c r="H5" s="284" t="str">
        <x:v>Category</x:v>
      </x:c>
      <x:c r="I5" s="284" t="str">
        <x:v>Aug completed kt</x:v>
      </x:c>
      <x:c r="J5" s="284" t="str">
        <x:v>Current queue kt</x:v>
      </x:c>
      <x:c r="K5" s="136"/>
      <x:c r="L5" s="136"/>
      <x:c r="M5" s="136"/>
      <x:c r="N5" s="136"/>
      <x:c r="O5" s="136"/>
      <x:c r="P5" s="136"/>
      <x:c r="Q5" s="136"/>
      <x:c r="R5" s="136"/>
      <x:c r="S5" s="136"/>
      <x:c r="T5" s="136"/>
      <x:c r="U5" s="136"/>
      <x:c r="V5" s="136"/>
      <x:c r="W5" s="136"/>
      <x:c r="X5" s="136"/>
      <x:c r="Y5" s="136"/>
      <x:c r="Z5" s="136"/>
    </x:row>
    <x:row r="6">
      <x:c r="A6" s="136" t="str">
        <x:v>Completed naphtha — Aug 2026 (kt)</x:v>
      </x:c>
      <x:c r="B6" s="114" t="n">
        <x:f>SUMIFS(Arrivals!$G$3:$G$1000,Arrivals!$D$3:$D$1000,"Completed",Arrivals!$A$3:$A$1000,"&gt;="&amp;DATE(2026,8,1),Arrivals!$A$3:$A$1000,"&lt;"&amp;DATE(2026,9,1))</x:f>
        <x:v>204.05525300925925</x:v>
      </x:c>
      <x:c r="C6" s="136"/>
      <x:c r="D6" s="283" t="str">
        <x:v>Future + third-party coexistence</x:v>
      </x:c>
      <x:c r="E6" s="116" t="str">
        <x:v>YES — queue</x:v>
      </x:c>
      <x:c r="F6" s="116" t="str">
        <x:v>Does not establish incremental imports</x:v>
      </x:c>
      <x:c r="G6" s="136"/>
      <x:c r="H6" s="136" t="str">
        <x:v>Future LR1</x:v>
      </x:c>
      <x:c r="I6" s="285" t="n">
        <x:v>55.245144</x:v>
      </x:c>
      <x:c r="J6" s="285" t="n">
        <x:f>SUMIFS(Arrivals!$G$11:$G$16,Arrivals!$J$11:$J$16,H6,Arrivals!$D$11:$D$16,"Scheduled")+SUMIFS(Arrivals!$G$11:$G$16,Arrivals!$J$11:$J$16,H6,Arrivals!$D$11:$D$16,"Anchored / Awaiting berth")+SUMIFS(Arrivals!$G$11:$G$16,Arrivals!$J$11:$J$16,H6,Arrivals!$D$11:$D$16,"Berthed / Discharging")</x:f>
        <x:v>28</x:v>
      </x:c>
      <x:c r="K6" s="136"/>
      <x:c r="L6" s="136"/>
      <x:c r="M6" s="136"/>
      <x:c r="N6" s="136"/>
      <x:c r="O6" s="136"/>
      <x:c r="P6" s="136"/>
      <x:c r="Q6" s="136"/>
      <x:c r="R6" s="136"/>
      <x:c r="S6" s="136"/>
      <x:c r="T6" s="136"/>
      <x:c r="U6" s="136"/>
      <x:c r="V6" s="136"/>
      <x:c r="W6" s="136"/>
      <x:c r="X6" s="136"/>
      <x:c r="Y6" s="136"/>
      <x:c r="Z6" s="136"/>
    </x:row>
    <x:row r="7">
      <x:c r="A7" s="136" t="str">
        <x:v>Future LR1 completed (kt)</x:v>
      </x:c>
      <x:c r="B7" s="114" t="n">
        <x:f>SUMIFS(Arrivals!$G$3:$G$1000,Arrivals!$D$3:$D$1000,"Completed",Arrivals!$J$3:$J$1000,"Future LR1",Arrivals!$A$3:$A$1000,"&gt;="&amp;DATE(2026,8,1),Arrivals!$A$3:$A$1000,"&lt;"&amp;DATE(2026,9,1))</x:f>
        <x:v>55.24514400462963</x:v>
      </x:c>
      <x:c r="C7" s="136"/>
      <x:c r="D7" s="283" t="str">
        <x:v>Beautiful Future</x:v>
      </x:c>
      <x:c r="E7" s="116" t="str">
        <x:v>56.6 kt UNRESOLVED</x:v>
      </x:c>
      <x:c r="F7" s="116" t="str">
        <x:v>Absent Oct-12; completion unverified</x:v>
      </x:c>
      <x:c r="G7" s="136"/>
      <x:c r="H7" s="136" t="str">
        <x:v>Third-party</x:v>
      </x:c>
      <x:c r="I7" s="285" t="n">
        <x:v>148.810109</x:v>
      </x:c>
      <x:c r="J7" s="285" t="n">
        <x:f>SUMIFS(Arrivals!$G$11:$G$16,Arrivals!$J$11:$J$16,H7,Arrivals!$D$11:$D$16,"Scheduled")+SUMIFS(Arrivals!$G$11:$G$16,Arrivals!$J$11:$J$16,H7,Arrivals!$D$11:$D$16,"Anchored / Awaiting berth")+SUMIFS(Arrivals!$G$11:$G$16,Arrivals!$J$11:$J$16,H7,Arrivals!$D$11:$D$16,"Berthed / Discharging")</x:f>
        <x:v>95.71476000000001</x:v>
      </x:c>
      <x:c r="K7" s="136"/>
      <x:c r="L7" s="136"/>
      <x:c r="M7" s="136"/>
      <x:c r="N7" s="136"/>
      <x:c r="O7" s="136"/>
      <x:c r="P7" s="136"/>
      <x:c r="Q7" s="136"/>
      <x:c r="R7" s="136"/>
      <x:c r="S7" s="136"/>
      <x:c r="T7" s="136"/>
      <x:c r="U7" s="136"/>
      <x:c r="V7" s="136"/>
      <x:c r="W7" s="136"/>
      <x:c r="X7" s="136"/>
      <x:c r="Y7" s="136"/>
      <x:c r="Z7" s="136"/>
    </x:row>
    <x:row r="8">
      <x:c r="A8" s="136" t="str">
        <x:v>Third-party completed (kt)</x:v>
      </x:c>
      <x:c r="B8" s="114" t="n">
        <x:f>SUMIFS(Arrivals!$G$3:$G$1000,Arrivals!$D$3:$D$1000,"Completed",Arrivals!$J$3:$J$1000,"Third-party",Arrivals!$A$3:$A$1000,"&gt;="&amp;DATE(2026,8,1),Arrivals!$A$3:$A$1000,"&lt;"&amp;DATE(2026,9,1))</x:f>
        <x:v>148.81010900462962</x:v>
      </x:c>
      <x:c r="C8" s="136"/>
      <x:c r="D8" s="283" t="str">
        <x:v>Blooming Future</x:v>
      </x:c>
      <x:c r="E8" s="116" t="str">
        <x:v>28.0 kt anchored</x:v>
      </x:c>
      <x:c r="F8" s="116" t="str">
        <x:v>Anchored; ETB Oct-13</x:v>
      </x:c>
      <x:c r="G8" s="136"/>
      <x:c r="H8" s="136" t="str">
        <x:v>TBD: 0 calls</x:v>
      </x:c>
      <x:c r="I8" s="285" t="n">
        <x:v>0</x:v>
      </x:c>
      <x:c r="J8" s="285"/>
      <x:c r="K8" s="136"/>
      <x:c r="L8" s="136"/>
      <x:c r="M8" s="136"/>
      <x:c r="N8" s="136"/>
      <x:c r="O8" s="136"/>
      <x:c r="P8" s="136"/>
      <x:c r="Q8" s="136"/>
      <x:c r="R8" s="136"/>
      <x:c r="S8" s="136"/>
      <x:c r="T8" s="136"/>
      <x:c r="U8" s="136"/>
      <x:c r="V8" s="136"/>
      <x:c r="W8" s="136"/>
      <x:c r="X8" s="136"/>
      <x:c r="Y8" s="136"/>
      <x:c r="Z8" s="136"/>
    </x:row>
    <x:row r="9">
      <x:c r="A9" s="136" t="str">
        <x:v>Current live / forward known (kt)</x:v>
      </x:c>
      <x:c r="B9" s="114" t="n">
        <x:f>SUM(J6:J7)</x:f>
        <x:v>123.71476000000001</x:v>
      </x:c>
      <x:c r="C9" s="136"/>
      <x:c r="D9" s="283" t="str">
        <x:v>Third-party forward</x:v>
      </x:c>
      <x:c r="E9" s="116" t="str">
        <x:v>95.7 kt</x:v>
      </x:c>
      <x:c r="F9" s="116" t="str">
        <x:v>Baiacu 60.4 / Pine 7.7 / Clyde 27.6</x:v>
      </x:c>
      <x:c r="G9" s="136"/>
      <x:c r="H9" s="136"/>
      <x:c r="I9" s="136"/>
      <x:c r="J9" s="136"/>
      <x:c r="K9" s="136"/>
      <x:c r="L9" s="136"/>
      <x:c r="M9" s="136"/>
      <x:c r="N9" s="136"/>
      <x:c r="O9" s="136"/>
      <x:c r="P9" s="136"/>
      <x:c r="Q9" s="136"/>
      <x:c r="R9" s="136"/>
      <x:c r="S9" s="136"/>
      <x:c r="T9" s="136"/>
      <x:c r="U9" s="136"/>
      <x:c r="V9" s="136"/>
      <x:c r="W9" s="136"/>
      <x:c r="X9" s="136"/>
      <x:c r="Y9" s="136"/>
      <x:c r="Z9" s="136"/>
    </x:row>
    <x:row r="10">
      <x:c r="A10" s="136" t="str">
        <x:v>Future share of completed</x:v>
      </x:c>
      <x:c r="B10" s="118" t="n">
        <x:f>IFERROR(B7/B6,0)</x:f>
        <x:v>0.2707362010425676</x:v>
      </x:c>
      <x:c r="C10" s="136"/>
      <x:c r="D10" s="283" t="str">
        <x:v>Importer-level coverage</x:v>
      </x:c>
      <x:c r="E10" s="116" t="str">
        <x:v>JAN–AUG LOADED</x:v>
      </x:c>
      <x:c r="F10" s="116" t="str">
        <x:v>Braskem August clearances +35.8% MoM</x:v>
      </x:c>
      <x:c r="G10" s="136"/>
      <x:c r="H10" s="136"/>
      <x:c r="I10" s="136"/>
      <x:c r="J10" s="136"/>
      <x:c r="K10" s="136"/>
      <x:c r="L10" s="136"/>
      <x:c r="M10" s="136"/>
      <x:c r="N10" s="136"/>
      <x:c r="O10" s="136"/>
      <x:c r="P10" s="136"/>
      <x:c r="Q10" s="136"/>
      <x:c r="R10" s="136"/>
      <x:c r="S10" s="136"/>
      <x:c r="T10" s="136"/>
      <x:c r="U10" s="136"/>
      <x:c r="V10" s="136"/>
      <x:c r="W10" s="136"/>
      <x:c r="X10" s="136"/>
      <x:c r="Y10" s="136"/>
      <x:c r="Z10" s="136"/>
    </x:row>
    <x:row r="11">
      <x:c r="A11" s="136"/>
      <x:c r="B11" s="136"/>
      <x:c r="C11" s="136"/>
      <x:c r="D11" s="136"/>
      <x:c r="E11" s="136"/>
      <x:c r="F11" s="136"/>
      <x:c r="G11" s="136"/>
      <x:c r="H11" s="136"/>
      <x:c r="I11" s="136"/>
      <x:c r="J11" s="136"/>
      <x:c r="K11" s="136"/>
      <x:c r="L11" s="136"/>
      <x:c r="M11" s="136"/>
      <x:c r="N11" s="136"/>
      <x:c r="O11" s="136"/>
      <x:c r="P11" s="136"/>
      <x:c r="Q11" s="136"/>
      <x:c r="R11" s="136"/>
      <x:c r="S11" s="136"/>
      <x:c r="T11" s="136"/>
      <x:c r="U11" s="136"/>
      <x:c r="V11" s="136"/>
      <x:c r="W11" s="136"/>
      <x:c r="X11" s="136"/>
      <x:c r="Y11" s="136"/>
      <x:c r="Z11" s="136"/>
    </x:row>
    <x:row r="12">
      <x:c r="A12" s="137" t="str">
        <x:v>Interpretation Framework</x:v>
      </x:c>
      <x:c r="B12" s="137"/>
      <x:c r="C12" s="137"/>
      <x:c r="D12" s="137"/>
      <x:c r="E12" s="137"/>
      <x:c r="F12" s="137"/>
      <x:c r="G12" s="137"/>
      <x:c r="H12" s="137"/>
      <x:c r="I12" s="137"/>
      <x:c r="J12" s="137"/>
      <x:c r="K12" s="136"/>
      <x:c r="L12" s="136"/>
      <x:c r="M12" s="136"/>
      <x:c r="N12" s="136"/>
      <x:c r="O12" s="136"/>
      <x:c r="P12" s="136"/>
      <x:c r="Q12" s="136"/>
      <x:c r="R12" s="136"/>
      <x:c r="S12" s="136"/>
      <x:c r="T12" s="136"/>
      <x:c r="U12" s="136"/>
      <x:c r="V12" s="136"/>
      <x:c r="W12" s="136"/>
      <x:c r="X12" s="136"/>
      <x:c r="Y12" s="136"/>
      <x:c r="Z12" s="136"/>
    </x:row>
    <x:row r="13">
      <x:c r="A13" s="12" t="str">
        <x:v>Signal</x:v>
      </x:c>
      <x:c r="B13" s="12" t="str">
        <x:v>Future LR1 tonnes</x:v>
      </x:c>
      <x:c r="C13" s="12" t="str">
        <x:v>Third-party tonnes</x:v>
      </x:c>
      <x:c r="D13" s="12" t="str">
        <x:v>Read-through</x:v>
      </x:c>
      <x:c r="E13" s="136"/>
      <x:c r="F13" s="136"/>
      <x:c r="G13" s="136"/>
      <x:c r="H13" s="136"/>
      <x:c r="I13" s="136"/>
      <x:c r="J13" s="136"/>
      <x:c r="K13" s="136"/>
      <x:c r="L13" s="136"/>
      <x:c r="M13" s="136"/>
      <x:c r="N13" s="136"/>
      <x:c r="O13" s="136"/>
      <x:c r="P13" s="136"/>
      <x:c r="Q13" s="136"/>
      <x:c r="R13" s="136"/>
      <x:c r="S13" s="136"/>
      <x:c r="T13" s="136"/>
      <x:c r="U13" s="136"/>
      <x:c r="V13" s="136"/>
      <x:c r="W13" s="136"/>
      <x:c r="X13" s="136"/>
      <x:c r="Y13" s="136"/>
      <x:c r="Z13" s="136"/>
    </x:row>
    <x:row r="14">
      <x:c r="A14" s="119" t="str">
        <x:v>Additive</x:v>
      </x:c>
      <x:c r="B14" s="119" t="str">
        <x:v>Rising</x:v>
      </x:c>
      <x:c r="C14" s="119" t="str">
        <x:v>Stable / rising</x:v>
      </x:c>
      <x:c r="D14" s="119" t="str">
        <x:v>Strongest evidence dedicated fleet expands total imports</x:v>
      </x:c>
      <x:c r="E14" s="136"/>
      <x:c r="F14" s="136"/>
      <x:c r="G14" s="136"/>
      <x:c r="H14" s="136"/>
      <x:c r="I14" s="136"/>
      <x:c r="J14" s="136"/>
      <x:c r="K14" s="136"/>
      <x:c r="L14" s="136"/>
      <x:c r="M14" s="136"/>
      <x:c r="N14" s="136"/>
      <x:c r="O14" s="136"/>
      <x:c r="P14" s="136"/>
      <x:c r="Q14" s="136"/>
      <x:c r="R14" s="136"/>
      <x:c r="S14" s="136"/>
      <x:c r="T14" s="136"/>
      <x:c r="U14" s="136"/>
      <x:c r="V14" s="136"/>
      <x:c r="W14" s="136"/>
      <x:c r="X14" s="136"/>
      <x:c r="Y14" s="136"/>
      <x:c r="Z14" s="136"/>
    </x:row>
    <x:row r="15">
      <x:c r="A15" s="120" t="str">
        <x:v>Substitutive</x:v>
      </x:c>
      <x:c r="B15" s="120" t="str">
        <x:v>Rising</x:v>
      </x:c>
      <x:c r="C15" s="120" t="str">
        <x:v>Falling ~1-for-1</x:v>
      </x:c>
      <x:c r="D15" s="120" t="str">
        <x:v>Dedicated vessels primarily replace spot/third-party liftings</x:v>
      </x:c>
      <x:c r="E15" s="136"/>
      <x:c r="F15" s="136"/>
      <x:c r="G15" s="136"/>
      <x:c r="H15" s="136"/>
      <x:c r="I15" s="136"/>
      <x:c r="J15" s="136"/>
      <x:c r="K15" s="136"/>
      <x:c r="L15" s="136"/>
      <x:c r="M15" s="136"/>
      <x:c r="N15" s="136"/>
      <x:c r="O15" s="136"/>
      <x:c r="P15" s="136"/>
      <x:c r="Q15" s="136"/>
      <x:c r="R15" s="136"/>
      <x:c r="S15" s="136"/>
      <x:c r="T15" s="136"/>
      <x:c r="U15" s="136"/>
      <x:c r="V15" s="136"/>
      <x:c r="W15" s="136"/>
      <x:c r="X15" s="136"/>
      <x:c r="Y15" s="136"/>
      <x:c r="Z15" s="136"/>
    </x:row>
    <x:row r="16">
      <x:c r="A16" s="121" t="str">
        <x:v>Mixed</x:v>
      </x:c>
      <x:c r="B16" s="121" t="str">
        <x:v>Rising</x:v>
      </x:c>
      <x:c r="C16" s="121" t="str">
        <x:v>Partly lower</x:v>
      </x:c>
      <x:c r="D16" s="121" t="str">
        <x:v>Some logistics substitution + some incremental feedstock optionality</x:v>
      </x:c>
      <x:c r="E16" s="136"/>
      <x:c r="F16" s="136"/>
      <x:c r="G16" s="136"/>
      <x:c r="H16" s="136"/>
      <x:c r="I16" s="136"/>
      <x:c r="J16" s="136"/>
      <x:c r="K16" s="136"/>
      <x:c r="L16" s="136"/>
      <x:c r="M16" s="136"/>
      <x:c r="N16" s="136"/>
      <x:c r="O16" s="136"/>
      <x:c r="P16" s="136"/>
      <x:c r="Q16" s="136"/>
      <x:c r="R16" s="136"/>
      <x:c r="S16" s="136"/>
      <x:c r="T16" s="136"/>
      <x:c r="U16" s="136"/>
      <x:c r="V16" s="136"/>
      <x:c r="W16" s="136"/>
      <x:c r="X16" s="136"/>
      <x:c r="Y16" s="136"/>
      <x:c r="Z16" s="136"/>
    </x:row>
    <x:row r="17">
      <x:c r="A17" s="136"/>
      <x:c r="B17" s="136"/>
      <x:c r="C17" s="136"/>
      <x:c r="D17" s="136"/>
      <x:c r="E17" s="136"/>
      <x:c r="F17" s="136"/>
      <x:c r="G17" s="136"/>
      <x:c r="H17" s="136"/>
      <x:c r="I17" s="136"/>
      <x:c r="J17" s="136"/>
      <x:c r="K17" s="136"/>
      <x:c r="L17" s="136"/>
      <x:c r="M17" s="136"/>
      <x:c r="N17" s="136"/>
      <x:c r="O17" s="136"/>
      <x:c r="P17" s="136"/>
      <x:c r="Q17" s="136"/>
      <x:c r="R17" s="136"/>
      <x:c r="S17" s="136"/>
      <x:c r="T17" s="136"/>
      <x:c r="U17" s="136"/>
      <x:c r="V17" s="136"/>
      <x:c r="W17" s="136"/>
      <x:c r="X17" s="136"/>
      <x:c r="Y17" s="136"/>
      <x:c r="Z17" s="136"/>
    </x:row>
    <x:row r="18">
      <x:c r="A18" s="137" t="str">
        <x:v>Near-Forward Watchlist</x:v>
      </x:c>
      <x:c r="B18" s="137"/>
      <x:c r="C18" s="137"/>
      <x:c r="D18" s="137"/>
      <x:c r="E18" s="137"/>
      <x:c r="F18" s="137"/>
      <x:c r="G18" s="137"/>
      <x:c r="H18" s="137"/>
      <x:c r="I18" s="137"/>
      <x:c r="J18" s="137"/>
      <x:c r="K18" s="136"/>
      <x:c r="L18" s="136"/>
      <x:c r="M18" s="136"/>
      <x:c r="N18" s="136"/>
      <x:c r="O18" s="136"/>
      <x:c r="P18" s="136"/>
      <x:c r="Q18" s="136"/>
      <x:c r="R18" s="136"/>
      <x:c r="S18" s="136"/>
      <x:c r="T18" s="136"/>
      <x:c r="U18" s="136"/>
      <x:c r="V18" s="136"/>
      <x:c r="W18" s="136"/>
      <x:c r="X18" s="136"/>
      <x:c r="Y18" s="136"/>
      <x:c r="Z18" s="136"/>
    </x:row>
    <x:row r="19">
      <x:c r="A19" s="12" t="str">
        <x:v>Date</x:v>
      </x:c>
      <x:c r="B19" s="12" t="str">
        <x:v>Vessel</x:v>
      </x:c>
      <x:c r="C19" s="12" t="str">
        <x:v>Type</x:v>
      </x:c>
      <x:c r="D19" s="12" t="str">
        <x:v>Quantity (kt)</x:v>
      </x:c>
      <x:c r="E19" s="12" t="str">
        <x:v>Operator</x:v>
      </x:c>
      <x:c r="F19" s="12" t="str">
        <x:v>What matters</x:v>
      </x:c>
      <x:c r="G19" s="136"/>
      <x:c r="H19" s="136"/>
      <x:c r="I19" s="136"/>
      <x:c r="J19" s="136"/>
      <x:c r="K19" s="136"/>
      <x:c r="L19" s="136"/>
      <x:c r="M19" s="136"/>
      <x:c r="N19" s="136"/>
      <x:c r="O19" s="136"/>
      <x:c r="P19" s="136"/>
      <x:c r="Q19" s="136"/>
      <x:c r="R19" s="136"/>
      <x:c r="S19" s="136"/>
      <x:c r="T19" s="136"/>
      <x:c r="U19" s="136"/>
      <x:c r="V19" s="136"/>
      <x:c r="W19" s="136"/>
      <x:c r="X19" s="136"/>
      <x:c r="Y19" s="136"/>
      <x:c r="Z19" s="136"/>
    </x:row>
    <x:row r="20">
      <x:c r="A20" s="122" t="n">
        <x:f>Arrivals!A12</x:f>
        <x:v>46308</x:v>
      </x:c>
      <x:c r="B20" s="116" t="str">
        <x:f>Arrivals!B12</x:f>
        <x:v>BLOOMING FUTURE</x:v>
      </x:c>
      <x:c r="C20" s="116" t="str">
        <x:f>Arrivals!J12</x:f>
        <x:v>Future LR1</x:v>
      </x:c>
      <x:c r="D20" s="123" t="n">
        <x:f>Arrivals!G12</x:f>
        <x:v>28</x:v>
      </x:c>
      <x:c r="E20" s="116" t="str">
        <x:v>Braskem</x:v>
      </x:c>
      <x:c r="F20" s="116" t="str">
        <x:v>Blooming anchored; ETB Oct-13.</x:v>
      </x:c>
      <x:c r="G20" s="136"/>
      <x:c r="H20" s="136"/>
      <x:c r="I20" s="136"/>
      <x:c r="J20" s="136"/>
      <x:c r="K20" s="136"/>
      <x:c r="L20" s="136"/>
      <x:c r="M20" s="136"/>
      <x:c r="N20" s="136"/>
      <x:c r="O20" s="136"/>
      <x:c r="P20" s="136"/>
      <x:c r="Q20" s="136"/>
      <x:c r="R20" s="136"/>
      <x:c r="S20" s="136"/>
      <x:c r="T20" s="136"/>
      <x:c r="U20" s="136"/>
      <x:c r="V20" s="136"/>
      <x:c r="W20" s="136"/>
      <x:c r="X20" s="136"/>
      <x:c r="Y20" s="136"/>
      <x:c r="Z20" s="136"/>
    </x:row>
    <x:row r="21">
      <x:c r="A21" s="122" t="n">
        <x:f>Arrivals!A14</x:f>
        <x:v>46310</x:v>
      </x:c>
      <x:c r="B21" s="116" t="str">
        <x:f>Arrivals!B14</x:f>
        <x:v>PINE OLIA</x:v>
      </x:c>
      <x:c r="C21" s="116" t="str">
        <x:f>Arrivals!J14</x:f>
        <x:v>Third-party</x:v>
      </x:c>
      <x:c r="D21" s="123" t="n">
        <x:f>Arrivals!G14</x:f>
        <x:v>7.7</x:v>
      </x:c>
      <x:c r="E21" s="116" t="str">
        <x:v>Braskem</x:v>
      </x:c>
      <x:c r="F21" s="116" t="str">
        <x:v>Pine reappeared; planned quantity now 7.7kt.</x:v>
      </x:c>
      <x:c r="G21" s="136"/>
      <x:c r="H21" s="136"/>
      <x:c r="I21" s="136"/>
      <x:c r="J21" s="136"/>
      <x:c r="K21" s="136"/>
      <x:c r="L21" s="136"/>
      <x:c r="M21" s="136"/>
      <x:c r="N21" s="136"/>
      <x:c r="O21" s="136"/>
      <x:c r="P21" s="136"/>
      <x:c r="Q21" s="136"/>
      <x:c r="R21" s="136"/>
      <x:c r="S21" s="136"/>
      <x:c r="T21" s="136"/>
      <x:c r="U21" s="136"/>
      <x:c r="V21" s="136"/>
      <x:c r="W21" s="136"/>
      <x:c r="X21" s="136"/>
      <x:c r="Y21" s="136"/>
      <x:c r="Z21" s="136"/>
    </x:row>
    <x:row r="22">
      <x:c r="A22" s="122" t="n">
        <x:f>Arrivals!A15</x:f>
        <x:v>46312</x:v>
      </x:c>
      <x:c r="B22" s="116" t="str">
        <x:f>Arrivals!B15</x:f>
        <x:v>BAIACU</x:v>
      </x:c>
      <x:c r="C22" s="116" t="str">
        <x:f>Arrivals!J15</x:f>
        <x:v>Third-party</x:v>
      </x:c>
      <x:c r="D22" s="123" t="n">
        <x:f>Arrivals!G15</x:f>
        <x:v>60.41476</x:v>
      </x:c>
      <x:c r="E22" s="116" t="str">
        <x:v>Braskem</x:v>
      </x:c>
      <x:c r="F22" s="116" t="str">
        <x:v>Baiacu anchored; 60.4kt; ETB Oct-17.</x:v>
      </x:c>
      <x:c r="G22" s="136"/>
      <x:c r="H22" s="136"/>
      <x:c r="I22" s="136"/>
      <x:c r="J22" s="136"/>
      <x:c r="K22" s="136"/>
      <x:c r="L22" s="136"/>
      <x:c r="M22" s="136"/>
      <x:c r="N22" s="136"/>
      <x:c r="O22" s="136"/>
      <x:c r="P22" s="136"/>
      <x:c r="Q22" s="136"/>
      <x:c r="R22" s="136"/>
      <x:c r="S22" s="136"/>
      <x:c r="T22" s="136"/>
      <x:c r="U22" s="136"/>
      <x:c r="V22" s="136"/>
      <x:c r="W22" s="136"/>
      <x:c r="X22" s="136"/>
      <x:c r="Y22" s="136"/>
      <x:c r="Z22" s="136"/>
    </x:row>
    <x:row r="23">
      <x:c r="A23" s="122" t="n">
        <x:f>Arrivals!A16</x:f>
        <x:v>46313</x:v>
      </x:c>
      <x:c r="B23" s="116" t="str">
        <x:f>Arrivals!B16</x:f>
        <x:v>CLYDE</x:v>
      </x:c>
      <x:c r="C23" s="116" t="str">
        <x:f>Arrivals!J16</x:f>
        <x:v>Third-party</x:v>
      </x:c>
      <x:c r="D23" s="123" t="n">
        <x:f>Arrivals!G16</x:f>
        <x:v>27.6</x:v>
      </x:c>
      <x:c r="E23" s="116" t="str">
        <x:v>Braskem</x:v>
      </x:c>
      <x:c r="F23" s="116" t="str">
        <x:v>New Clyde call; 27.6kt; ETB Oct-18.</x:v>
      </x:c>
      <x:c r="G23" s="136"/>
      <x:c r="H23" s="136"/>
      <x:c r="I23" s="136"/>
      <x:c r="J23" s="136"/>
      <x:c r="K23" s="136"/>
      <x:c r="L23" s="136"/>
      <x:c r="M23" s="136"/>
      <x:c r="N23" s="136"/>
      <x:c r="O23" s="136"/>
      <x:c r="P23" s="136"/>
      <x:c r="Q23" s="136"/>
      <x:c r="R23" s="136"/>
      <x:c r="S23" s="136"/>
      <x:c r="T23" s="136"/>
      <x:c r="U23" s="136"/>
      <x:c r="V23" s="136"/>
      <x:c r="W23" s="136"/>
      <x:c r="X23" s="136"/>
      <x:c r="Y23" s="136"/>
      <x:c r="Z23" s="136"/>
    </x:row>
    <x:row r="24">
      <x:c r="A24" s="233" t="str">
        <x:v>Braskem petrochemical naphtha customs clearances — actual tonnes</x:v>
      </x:c>
      <x:c r="B24" s="233"/>
      <x:c r="C24" s="233"/>
      <x:c r="D24" s="233"/>
      <x:c r="E24" s="233"/>
      <x:c r="F24" s="233"/>
      <x:c r="G24" s="233"/>
      <x:c r="H24" s="233"/>
      <x:c r="I24" s="233"/>
      <x:c r="J24" s="233"/>
      <x:c r="K24" s="136"/>
      <x:c r="L24" s="136"/>
      <x:c r="M24" s="136"/>
      <x:c r="N24" s="136"/>
      <x:c r="O24" s="136"/>
      <x:c r="P24" s="136"/>
      <x:c r="Q24" s="136"/>
      <x:c r="R24" s="136"/>
      <x:c r="S24" s="136"/>
      <x:c r="T24" s="136"/>
      <x:c r="U24" s="136"/>
      <x:c r="V24" s="136"/>
      <x:c r="W24" s="136"/>
      <x:c r="X24" s="136"/>
      <x:c r="Y24" s="136"/>
      <x:c r="Z24" s="136"/>
    </x:row>
    <x:row r="25">
      <x:c r="A25" s="284" t="str">
        <x:v>Metric</x:v>
      </x:c>
      <x:c r="B25" s="284" t="str">
        <x:v>Result</x:v>
      </x:c>
      <x:c r="C25" s="284" t="str">
        <x:v>Read-through</x:v>
      </x:c>
      <x:c r="D25" s="284" t="str">
        <x:v>Source / Caveat</x:v>
      </x:c>
      <x:c r="E25" s="136" t="str"/>
      <x:c r="F25" s="136" t="str"/>
      <x:c r="G25" s="136"/>
      <x:c r="H25" s="136"/>
      <x:c r="I25" s="136"/>
      <x:c r="J25" s="136"/>
      <x:c r="K25" s="136"/>
      <x:c r="L25" s="136"/>
      <x:c r="M25" s="136"/>
      <x:c r="N25" s="136"/>
      <x:c r="O25" s="136"/>
      <x:c r="P25" s="136"/>
      <x:c r="Q25" s="136"/>
      <x:c r="R25" s="136"/>
      <x:c r="S25" s="136"/>
      <x:c r="T25" s="136"/>
      <x:c r="U25" s="136"/>
      <x:c r="V25" s="136"/>
      <x:c r="W25" s="136"/>
      <x:c r="X25" s="136"/>
      <x:c r="Y25" s="136"/>
      <x:c r="Z25" s="136"/>
    </x:row>
    <x:row r="26">
      <x:c r="A26" s="176" t="str">
        <x:v>Q1 monthly average (kt)</x:v>
      </x:c>
      <x:c r="B26" s="313" t="n">
        <x:f>'Customs Imports'!B14</x:f>
        <x:v>303.94541533333336</x:v>
      </x:c>
      <x:c r="C26" s="176" t="str">
        <x:v>Pre-Q2 baseline</x:v>
      </x:c>
      <x:c r="D26" s="176" t="str">
        <x:v>NCM 27101241, Braskem importer</x:v>
      </x:c>
      <x:c r="E26" s="136" t="str"/>
      <x:c r="F26" s="136" t="str"/>
      <x:c r="G26" s="136"/>
      <x:c r="H26" s="136"/>
      <x:c r="I26" s="136"/>
      <x:c r="J26" s="136"/>
      <x:c r="K26" s="136"/>
      <x:c r="L26" s="136"/>
      <x:c r="M26" s="136"/>
      <x:c r="N26" s="136"/>
      <x:c r="O26" s="136"/>
      <x:c r="P26" s="136"/>
      <x:c r="Q26" s="136"/>
      <x:c r="R26" s="136"/>
      <x:c r="S26" s="136"/>
      <x:c r="T26" s="136"/>
      <x:c r="U26" s="136"/>
      <x:c r="V26" s="136"/>
      <x:c r="W26" s="136"/>
      <x:c r="X26" s="136"/>
      <x:c r="Y26" s="136"/>
      <x:c r="Z26" s="136"/>
    </x:row>
    <x:row r="27">
      <x:c r="A27" s="176" t="str">
        <x:v>Q2 monthly average (kt)</x:v>
      </x:c>
      <x:c r="B27" s="313" t="n">
        <x:f>AVERAGE('Customs Imports'!B8:B10)</x:f>
        <x:v>169.1199776666667</x:v>
      </x:c>
      <x:c r="C27" s="176" t="str">
        <x:v>44.4% below Q1</x:v>
      </x:c>
      <x:c r="D27" s="176" t="str">
        <x:v>Clearance month; actual kg</x:v>
      </x:c>
      <x:c r="E27" s="136" t="str"/>
      <x:c r="F27" s="136" t="str"/>
      <x:c r="G27" s="136"/>
      <x:c r="H27" s="136"/>
      <x:c r="I27" s="136"/>
      <x:c r="J27" s="136"/>
      <x:c r="K27" s="136"/>
      <x:c r="L27" s="136"/>
      <x:c r="M27" s="136"/>
      <x:c r="N27" s="136"/>
      <x:c r="O27" s="136"/>
      <x:c r="P27" s="136"/>
      <x:c r="Q27" s="136"/>
      <x:c r="R27" s="136"/>
      <x:c r="S27" s="136"/>
      <x:c r="T27" s="136"/>
      <x:c r="U27" s="136"/>
      <x:c r="V27" s="136"/>
      <x:c r="W27" s="136"/>
      <x:c r="X27" s="136"/>
      <x:c r="Y27" s="136"/>
      <x:c r="Z27" s="136"/>
    </x:row>
    <x:row r="28">
      <x:c r="A28" s="176" t="str">
        <x:v>July Braskem imports (kt)</x:v>
      </x:c>
      <x:c r="B28" s="313" t="n">
        <x:f>'Customs Imports'!B11</x:f>
        <x:v>176.993941</x:v>
      </x:c>
      <x:c r="C28" s="279" t="str">
        <x:v>Below Q1 run-rate</x:v>
      </x:c>
      <x:c r="D28" s="176" t="str">
        <x:v>National m³ series now through August</x:v>
      </x:c>
      <x:c r="E28" s="136" t="str"/>
      <x:c r="F28" s="136" t="str"/>
      <x:c r="G28" s="136"/>
      <x:c r="H28" s="136"/>
      <x:c r="I28" s="136"/>
      <x:c r="J28" s="136"/>
      <x:c r="K28" s="136"/>
      <x:c r="L28" s="136"/>
      <x:c r="M28" s="136"/>
      <x:c r="N28" s="136"/>
      <x:c r="O28" s="136"/>
      <x:c r="P28" s="136"/>
      <x:c r="Q28" s="136"/>
      <x:c r="R28" s="136"/>
      <x:c r="S28" s="136"/>
      <x:c r="T28" s="136"/>
      <x:c r="U28" s="136"/>
      <x:c r="V28" s="136"/>
      <x:c r="W28" s="136"/>
      <x:c r="X28" s="136"/>
      <x:c r="Y28" s="136"/>
      <x:c r="Z28" s="136"/>
    </x:row>
    <x:row r="29">
      <x:c r="A29" s="176" t="str">
        <x:v>August Braskem imports (kt)</x:v>
      </x:c>
      <x:c r="B29" s="313" t="n">
        <x:f>'Customs Imports'!B12</x:f>
        <x:v>240.39366327599998</x:v>
      </x:c>
      <x:c r="C29" s="176" t="str">
        <x:v>Up 35.8% MoM</x:v>
      </x:c>
      <x:c r="D29" s="176" t="str">
        <x:v>20.9% below Q1 monthly average</x:v>
      </x:c>
      <x:c r="E29" s="136" t="str"/>
      <x:c r="F29" s="136" t="str"/>
      <x:c r="G29" s="136"/>
      <x:c r="H29" s="136"/>
      <x:c r="I29" s="136"/>
      <x:c r="J29" s="136"/>
      <x:c r="K29" s="136"/>
      <x:c r="L29" s="136"/>
      <x:c r="M29" s="136"/>
      <x:c r="N29" s="136"/>
      <x:c r="O29" s="136"/>
      <x:c r="P29" s="136"/>
      <x:c r="Q29" s="136"/>
      <x:c r="R29" s="136"/>
      <x:c r="S29" s="136"/>
      <x:c r="T29" s="136"/>
      <x:c r="U29" s="136"/>
      <x:c r="V29" s="136"/>
      <x:c r="W29" s="136"/>
      <x:c r="X29" s="136"/>
      <x:c r="Y29" s="136"/>
      <x:c r="Z29" s="136"/>
    </x:row>
    <x:row r="30">
      <x:c r="A30" s="176" t="str">
        <x:v>Jun–Aug annualized (Mt)</x:v>
      </x:c>
      <x:c r="B30" s="314" t="n">
        <x:f>'Customs Imports'!I12</x:f>
        <x:v>2.492718037104</x:v>
      </x:c>
      <x:c r="C30" s="153" t="str">
        <x:v>Recovery from May trough</x:v>
      </x:c>
      <x:c r="D30" s="176" t="str">
        <x:v>No density assumption required</x:v>
      </x:c>
      <x:c r="E30" s="136" t="str"/>
      <x:c r="F30" s="136" t="str"/>
      <x:c r="G30" s="136"/>
      <x:c r="H30" s="136"/>
      <x:c r="I30" s="136"/>
      <x:c r="J30" s="136"/>
      <x:c r="K30" s="136"/>
      <x:c r="L30" s="136"/>
      <x:c r="M30" s="136"/>
      <x:c r="N30" s="136"/>
      <x:c r="O30" s="136"/>
      <x:c r="P30" s="136"/>
      <x:c r="Q30" s="136"/>
      <x:c r="R30" s="136"/>
      <x:c r="S30" s="136"/>
      <x:c r="T30" s="136"/>
      <x:c r="U30" s="136"/>
      <x:c r="V30" s="136"/>
      <x:c r="W30" s="136"/>
      <x:c r="X30" s="136"/>
      <x:c r="Y30" s="136"/>
      <x:c r="Z30" s="136"/>
    </x:row>
    <x:row r="31">
      <x:c r="A31" s="176" t="str">
        <x:v>Current thesis status</x:v>
      </x:c>
      <x:c r="B31" s="291" t="str">
        <x:v>RECOVERING / UNPROVEN</x:v>
      </x:c>
      <x:c r="C31" s="291" t="str">
        <x:v>Higher August imports; fleet causality unproven</x:v>
      </x:c>
      <x:c r="D31" s="176" t="str">
        <x:v>Customs, port receipts and schedules are separate</x:v>
      </x:c>
      <x:c r="E31" s="136"/>
      <x:c r="F31" s="136"/>
      <x:c r="G31" s="136"/>
      <x:c r="H31" s="136"/>
      <x:c r="I31" s="136"/>
      <x:c r="J31" s="136"/>
      <x:c r="K31" s="136"/>
      <x:c r="L31" s="136"/>
      <x:c r="M31" s="136"/>
      <x:c r="N31" s="136"/>
      <x:c r="O31" s="136"/>
      <x:c r="P31" s="136"/>
      <x:c r="Q31" s="136"/>
      <x:c r="R31" s="136"/>
      <x:c r="S31" s="136"/>
      <x:c r="T31" s="136"/>
      <x:c r="U31" s="136"/>
      <x:c r="V31" s="136"/>
      <x:c r="W31" s="136"/>
      <x:c r="X31" s="136"/>
      <x:c r="Y31" s="136"/>
      <x:c r="Z31" s="136"/>
    </x:row>
    <x:row r="32">
      <x:c r="A32" s="136"/>
      <x:c r="B32" s="136"/>
      <x:c r="C32" s="136"/>
      <x:c r="D32" s="136"/>
      <x:c r="E32" s="136"/>
      <x:c r="F32" s="136"/>
      <x:c r="G32" s="136"/>
      <x:c r="H32" s="136"/>
      <x:c r="I32" s="136"/>
      <x:c r="J32" s="136"/>
      <x:c r="K32" s="136"/>
      <x:c r="L32" s="136"/>
      <x:c r="M32" s="136"/>
      <x:c r="N32" s="136"/>
      <x:c r="O32" s="136"/>
      <x:c r="P32" s="136"/>
      <x:c r="Q32" s="136"/>
      <x:c r="R32" s="136"/>
      <x:c r="S32" s="136"/>
      <x:c r="T32" s="136"/>
      <x:c r="U32" s="136"/>
      <x:c r="V32" s="136"/>
      <x:c r="W32" s="136"/>
      <x:c r="X32" s="136"/>
      <x:c r="Y32" s="136"/>
      <x:c r="Z32" s="136"/>
    </x:row>
    <x:row r="33">
      <x:c r="A33" s="293" t="str">
        <x:v>Interpretation as of October 12</x:v>
      </x:c>
      <x:c r="B33" s="293"/>
      <x:c r="C33" s="293"/>
      <x:c r="D33" s="293"/>
      <x:c r="E33" s="293"/>
      <x:c r="F33" s="293"/>
      <x:c r="G33" s="293"/>
      <x:c r="H33" s="293"/>
      <x:c r="I33" s="293"/>
      <x:c r="J33" s="293"/>
      <x:c r="K33" s="136"/>
      <x:c r="L33" s="136"/>
      <x:c r="M33" s="136"/>
      <x:c r="N33" s="136"/>
      <x:c r="O33" s="136"/>
      <x:c r="P33" s="136"/>
      <x:c r="Q33" s="136"/>
      <x:c r="R33" s="136"/>
      <x:c r="S33" s="136"/>
      <x:c r="T33" s="136"/>
      <x:c r="U33" s="136"/>
      <x:c r="V33" s="136"/>
      <x:c r="W33" s="136"/>
      <x:c r="X33" s="136"/>
      <x:c r="Y33" s="136"/>
      <x:c r="Z33" s="136"/>
    </x:row>
    <x:row r="34" ht="21" customHeight="1">
      <x:c r="A34" s="296" t="str">
        <x:v>Imports remain unchanged through August. Current Aratu planned cargo is 123.7kt: Blooming Future 28.0kt, Baiacu 60.4kt, Pine Olia 7.7kt and Clyde 27.6kt. Pine reappeared with the same DUV and lower planned quantity; partial discharge is unverified. Cedar Express and Beautiful Future remain unresolved. Planned cargo revisions and schedule changes do not establish changes in imports. Quarterly comparison and gas assumptions retained.</x:v>
      </x:c>
      <x:c r="B34" s="296"/>
      <x:c r="C34" s="296"/>
      <x:c r="D34" s="296"/>
      <x:c r="E34" s="296"/>
      <x:c r="F34" s="296"/>
      <x:c r="G34" s="296"/>
      <x:c r="H34" s="296"/>
      <x:c r="I34" s="296"/>
      <x:c r="J34" s="296"/>
      <x:c r="K34" s="136"/>
      <x:c r="L34" s="136"/>
      <x:c r="M34" s="136"/>
      <x:c r="N34" s="136"/>
      <x:c r="O34" s="136"/>
      <x:c r="P34" s="136"/>
      <x:c r="Q34" s="136"/>
      <x:c r="R34" s="136"/>
      <x:c r="S34" s="136"/>
      <x:c r="T34" s="136"/>
      <x:c r="U34" s="136"/>
      <x:c r="V34" s="136"/>
      <x:c r="W34" s="136"/>
      <x:c r="X34" s="136"/>
      <x:c r="Y34" s="136"/>
      <x:c r="Z34" s="136"/>
    </x:row>
    <x:row r="35" ht="21" customHeight="1">
      <x:c r="A35" s="296"/>
      <x:c r="B35" s="296"/>
      <x:c r="C35" s="296"/>
      <x:c r="D35" s="296"/>
      <x:c r="E35" s="296"/>
      <x:c r="F35" s="296"/>
      <x:c r="G35" s="296"/>
      <x:c r="H35" s="296"/>
      <x:c r="I35" s="296"/>
      <x:c r="J35" s="296"/>
      <x:c r="K35" s="136"/>
      <x:c r="L35" s="136"/>
      <x:c r="M35" s="136"/>
      <x:c r="N35" s="136"/>
      <x:c r="O35" s="136"/>
      <x:c r="P35" s="136"/>
      <x:c r="Q35" s="136"/>
      <x:c r="R35" s="136"/>
      <x:c r="S35" s="136"/>
      <x:c r="T35" s="136"/>
      <x:c r="U35" s="136"/>
      <x:c r="V35" s="136"/>
      <x:c r="W35" s="136"/>
      <x:c r="X35" s="136"/>
      <x:c r="Y35" s="136"/>
      <x:c r="Z35" s="136"/>
    </x:row>
    <x:row r="36" ht="21" customHeight="1">
      <x:c r="A36" s="296" t="str">
        <x:v>Quarterly cross-check added: see Quarterly Reconciliation. Capacity-adjusted residual has 0.49 level correlation with ANP national imports, but only 3/9 directions match. 2025 importer records have coverage anomalies.</x:v>
      </x:c>
      <x:c r="B36" s="296"/>
      <x:c r="C36" s="296"/>
      <x:c r="D36" s="296"/>
      <x:c r="E36" s="296"/>
      <x:c r="F36" s="296"/>
      <x:c r="G36" s="296"/>
      <x:c r="H36" s="296"/>
      <x:c r="I36" s="296"/>
      <x:c r="J36" s="296"/>
      <x:c r="K36" s="136"/>
      <x:c r="L36" s="136"/>
      <x:c r="M36" s="136"/>
      <x:c r="N36" s="136"/>
      <x:c r="O36" s="136"/>
      <x:c r="P36" s="136"/>
      <x:c r="Q36" s="136"/>
      <x:c r="R36" s="136"/>
      <x:c r="S36" s="136"/>
      <x:c r="T36" s="136"/>
      <x:c r="U36" s="136"/>
      <x:c r="V36" s="136"/>
      <x:c r="W36" s="136"/>
      <x:c r="X36" s="136"/>
      <x:c r="Y36" s="136"/>
      <x:c r="Z36" s="136"/>
    </x:row>
    <x:row r="37" ht="21" customHeight="1">
      <x:c r="A37" s="296"/>
      <x:c r="B37" s="296"/>
      <x:c r="C37" s="296"/>
      <x:c r="D37" s="296"/>
      <x:c r="E37" s="296"/>
      <x:c r="F37" s="296"/>
      <x:c r="G37" s="296"/>
      <x:c r="H37" s="296"/>
      <x:c r="I37" s="296"/>
      <x:c r="J37" s="296"/>
      <x:c r="K37" s="136"/>
      <x:c r="L37" s="136"/>
      <x:c r="M37" s="136"/>
      <x:c r="N37" s="136"/>
      <x:c r="O37" s="136"/>
      <x:c r="P37" s="136"/>
      <x:c r="Q37" s="136"/>
      <x:c r="R37" s="136"/>
      <x:c r="S37" s="136"/>
      <x:c r="T37" s="136"/>
      <x:c r="U37" s="136"/>
      <x:c r="V37" s="136"/>
      <x:c r="W37" s="136"/>
      <x:c r="X37" s="136"/>
      <x:c r="Y37" s="136"/>
      <x:c r="Z37" s="136"/>
    </x:row>
    <x:row r="38" ht="21" customHeight="1">
      <x:c r="A38" s="296"/>
      <x:c r="B38" s="296"/>
      <x:c r="C38" s="296"/>
      <x:c r="D38" s="296"/>
      <x:c r="E38" s="296"/>
      <x:c r="F38" s="296"/>
      <x:c r="G38" s="296"/>
      <x:c r="H38" s="296"/>
      <x:c r="I38" s="296"/>
      <x:c r="J38" s="296"/>
      <x:c r="K38" s="136"/>
      <x:c r="L38" s="136"/>
      <x:c r="M38" s="136"/>
      <x:c r="N38" s="136"/>
      <x:c r="O38" s="136"/>
      <x:c r="P38" s="136"/>
      <x:c r="Q38" s="136"/>
      <x:c r="R38" s="136"/>
      <x:c r="S38" s="136"/>
      <x:c r="T38" s="136"/>
      <x:c r="U38" s="136"/>
      <x:c r="V38" s="136"/>
      <x:c r="W38" s="136"/>
      <x:c r="X38" s="136"/>
      <x:c r="Y38" s="136"/>
      <x:c r="Z38" s="136"/>
    </x:row>
    <x:row r="39">
      <x:c r="A39" s="136"/>
      <x:c r="B39" s="136"/>
      <x:c r="C39" s="136"/>
      <x:c r="D39" s="136"/>
      <x:c r="E39" s="136"/>
      <x:c r="F39" s="136"/>
      <x:c r="G39" s="136"/>
      <x:c r="H39" s="136"/>
      <x:c r="I39" s="136"/>
      <x:c r="J39" s="136"/>
      <x:c r="K39" s="136"/>
      <x:c r="L39" s="136"/>
      <x:c r="M39" s="136"/>
      <x:c r="N39" s="136"/>
      <x:c r="O39" s="136"/>
      <x:c r="P39" s="136"/>
      <x:c r="Q39" s="136"/>
      <x:c r="R39" s="136"/>
      <x:c r="S39" s="136"/>
      <x:c r="T39" s="136"/>
      <x:c r="U39" s="136"/>
      <x:c r="V39" s="136"/>
      <x:c r="W39" s="136"/>
      <x:c r="X39" s="136"/>
      <x:c r="Y39" s="136"/>
      <x:c r="Z39" s="136"/>
    </x:row>
    <x:row r="40">
      <x:c r="A40" s="136"/>
      <x:c r="B40" s="136"/>
      <x:c r="C40" s="136"/>
      <x:c r="D40" s="136"/>
      <x:c r="E40" s="136"/>
      <x:c r="F40" s="136"/>
      <x:c r="G40" s="136"/>
      <x:c r="H40" s="136"/>
      <x:c r="I40" s="136"/>
      <x:c r="J40" s="136"/>
      <x:c r="K40" s="136"/>
      <x:c r="L40" s="136"/>
      <x:c r="M40" s="136"/>
      <x:c r="N40" s="136"/>
      <x:c r="O40" s="136"/>
      <x:c r="P40" s="136"/>
      <x:c r="Q40" s="136"/>
      <x:c r="R40" s="136"/>
      <x:c r="S40" s="136"/>
      <x:c r="T40" s="136"/>
      <x:c r="U40" s="136"/>
      <x:c r="V40" s="136"/>
      <x:c r="W40" s="136"/>
      <x:c r="X40" s="136"/>
      <x:c r="Y40" s="136"/>
      <x:c r="Z40" s="136"/>
    </x:row>
    <x:row r="41">
      <x:c r="A41" s="136"/>
      <x:c r="B41" s="136"/>
      <x:c r="C41" s="136"/>
      <x:c r="D41" s="136"/>
      <x:c r="E41" s="136"/>
      <x:c r="F41" s="136"/>
      <x:c r="G41" s="136"/>
      <x:c r="H41" s="136"/>
      <x:c r="I41" s="136"/>
      <x:c r="J41" s="136"/>
      <x:c r="K41" s="136"/>
      <x:c r="L41" s="136"/>
      <x:c r="M41" s="136"/>
      <x:c r="N41" s="136"/>
      <x:c r="O41" s="136"/>
      <x:c r="P41" s="136"/>
      <x:c r="Q41" s="136"/>
      <x:c r="R41" s="136"/>
      <x:c r="S41" s="136"/>
      <x:c r="T41" s="136"/>
      <x:c r="U41" s="136"/>
      <x:c r="V41" s="136"/>
      <x:c r="W41" s="136"/>
      <x:c r="X41" s="136"/>
      <x:c r="Y41" s="136"/>
      <x:c r="Z41" s="136"/>
    </x:row>
    <x:row r="42">
      <x:c r="A42" s="136"/>
      <x:c r="B42" s="136"/>
      <x:c r="C42" s="136"/>
      <x:c r="D42" s="136"/>
      <x:c r="E42" s="136"/>
      <x:c r="F42" s="136"/>
      <x:c r="G42" s="136"/>
      <x:c r="H42" s="136"/>
      <x:c r="I42" s="136"/>
      <x:c r="J42" s="136"/>
      <x:c r="K42" s="136"/>
      <x:c r="L42" s="136"/>
      <x:c r="M42" s="136"/>
      <x:c r="N42" s="136"/>
      <x:c r="O42" s="136"/>
      <x:c r="P42" s="136"/>
      <x:c r="Q42" s="136"/>
      <x:c r="R42" s="136"/>
      <x:c r="S42" s="136"/>
      <x:c r="T42" s="136"/>
      <x:c r="U42" s="136"/>
      <x:c r="V42" s="136"/>
      <x:c r="W42" s="136"/>
      <x:c r="X42" s="136"/>
      <x:c r="Y42" s="136"/>
      <x:c r="Z42" s="136"/>
    </x:row>
    <x:row r="43">
      <x:c r="A43" s="136"/>
      <x:c r="B43" s="136"/>
      <x:c r="C43" s="136"/>
      <x:c r="D43" s="136"/>
      <x:c r="E43" s="136"/>
      <x:c r="F43" s="136"/>
      <x:c r="G43" s="136"/>
      <x:c r="H43" s="136"/>
      <x:c r="I43" s="136"/>
      <x:c r="J43" s="136"/>
      <x:c r="K43" s="136"/>
      <x:c r="L43" s="136"/>
      <x:c r="M43" s="136"/>
      <x:c r="N43" s="136"/>
      <x:c r="O43" s="136"/>
      <x:c r="P43" s="136"/>
      <x:c r="Q43" s="136"/>
      <x:c r="R43" s="136"/>
      <x:c r="S43" s="136"/>
      <x:c r="T43" s="136"/>
      <x:c r="U43" s="136"/>
      <x:c r="V43" s="136"/>
      <x:c r="W43" s="136"/>
      <x:c r="X43" s="136"/>
      <x:c r="Y43" s="136"/>
      <x:c r="Z43" s="136"/>
    </x:row>
    <x:row r="44">
      <x:c r="A44" s="136"/>
      <x:c r="B44" s="136"/>
      <x:c r="C44" s="136"/>
      <x:c r="D44" s="136"/>
      <x:c r="E44" s="136"/>
      <x:c r="F44" s="136"/>
      <x:c r="G44" s="136"/>
      <x:c r="H44" s="136"/>
      <x:c r="I44" s="136"/>
      <x:c r="J44" s="136"/>
      <x:c r="K44" s="136"/>
      <x:c r="L44" s="136"/>
      <x:c r="M44" s="136"/>
      <x:c r="N44" s="136"/>
      <x:c r="O44" s="136"/>
      <x:c r="P44" s="136"/>
      <x:c r="Q44" s="136"/>
      <x:c r="R44" s="136"/>
      <x:c r="S44" s="136"/>
      <x:c r="T44" s="136"/>
      <x:c r="U44" s="136"/>
      <x:c r="V44" s="136"/>
      <x:c r="W44" s="136"/>
      <x:c r="X44" s="136"/>
      <x:c r="Y44" s="136"/>
      <x:c r="Z44" s="136"/>
    </x:row>
    <x:row r="45">
      <x:c r="A45" s="136"/>
      <x:c r="B45" s="136"/>
      <x:c r="C45" s="136"/>
      <x:c r="D45" s="136"/>
      <x:c r="E45" s="136"/>
      <x:c r="F45" s="136"/>
      <x:c r="G45" s="136"/>
      <x:c r="H45" s="136"/>
      <x:c r="I45" s="136"/>
      <x:c r="J45" s="136"/>
      <x:c r="K45" s="136"/>
      <x:c r="L45" s="136"/>
      <x:c r="M45" s="136"/>
      <x:c r="N45" s="136"/>
      <x:c r="O45" s="136"/>
      <x:c r="P45" s="136"/>
      <x:c r="Q45" s="136"/>
      <x:c r="R45" s="136"/>
      <x:c r="S45" s="136"/>
      <x:c r="T45" s="136"/>
      <x:c r="U45" s="136"/>
      <x:c r="V45" s="136"/>
      <x:c r="W45" s="136"/>
      <x:c r="X45" s="136"/>
      <x:c r="Y45" s="136"/>
      <x:c r="Z45" s="136"/>
    </x:row>
    <x:row r="46">
      <x:c r="A46" s="136"/>
      <x:c r="B46" s="136"/>
      <x:c r="C46" s="136"/>
      <x:c r="D46" s="136"/>
      <x:c r="E46" s="136"/>
      <x:c r="F46" s="136"/>
      <x:c r="G46" s="136"/>
      <x:c r="H46" s="136"/>
      <x:c r="I46" s="136"/>
      <x:c r="J46" s="136"/>
      <x:c r="K46" s="136"/>
      <x:c r="L46" s="136"/>
      <x:c r="M46" s="136"/>
      <x:c r="N46" s="136"/>
      <x:c r="O46" s="136"/>
      <x:c r="P46" s="136"/>
      <x:c r="Q46" s="136"/>
      <x:c r="R46" s="136"/>
      <x:c r="S46" s="136"/>
      <x:c r="T46" s="136"/>
      <x:c r="U46" s="136"/>
      <x:c r="V46" s="136"/>
      <x:c r="W46" s="136"/>
      <x:c r="X46" s="136"/>
      <x:c r="Y46" s="136"/>
      <x:c r="Z46" s="136"/>
    </x:row>
    <x:row r="47">
      <x:c r="A47" s="136"/>
      <x:c r="B47" s="136"/>
      <x:c r="C47" s="136"/>
      <x:c r="D47" s="136"/>
      <x:c r="E47" s="136"/>
      <x:c r="F47" s="136"/>
      <x:c r="G47" s="136"/>
      <x:c r="H47" s="136"/>
      <x:c r="I47" s="136"/>
      <x:c r="J47" s="136"/>
      <x:c r="K47" s="136"/>
      <x:c r="L47" s="136"/>
      <x:c r="M47" s="136"/>
      <x:c r="N47" s="136"/>
      <x:c r="O47" s="136"/>
      <x:c r="P47" s="136"/>
      <x:c r="Q47" s="136"/>
      <x:c r="R47" s="136"/>
      <x:c r="S47" s="136"/>
      <x:c r="T47" s="136"/>
      <x:c r="U47" s="136"/>
      <x:c r="V47" s="136"/>
      <x:c r="W47" s="136"/>
      <x:c r="X47" s="136"/>
      <x:c r="Y47" s="136"/>
      <x:c r="Z47" s="136"/>
    </x:row>
    <x:row r="48">
      <x:c r="A48" s="136"/>
      <x:c r="B48" s="136"/>
      <x:c r="C48" s="136"/>
      <x:c r="D48" s="136"/>
      <x:c r="E48" s="136"/>
      <x:c r="F48" s="136"/>
      <x:c r="G48" s="136"/>
      <x:c r="H48" s="136"/>
      <x:c r="I48" s="136"/>
      <x:c r="J48" s="136"/>
      <x:c r="K48" s="136"/>
      <x:c r="L48" s="136"/>
      <x:c r="M48" s="136"/>
      <x:c r="N48" s="136"/>
      <x:c r="O48" s="136"/>
      <x:c r="P48" s="136"/>
      <x:c r="Q48" s="136"/>
      <x:c r="R48" s="136"/>
      <x:c r="S48" s="136"/>
      <x:c r="T48" s="136"/>
      <x:c r="U48" s="136"/>
      <x:c r="V48" s="136"/>
      <x:c r="W48" s="136"/>
      <x:c r="X48" s="136"/>
      <x:c r="Y48" s="136"/>
      <x:c r="Z48" s="136"/>
    </x:row>
    <x:row r="49">
      <x:c r="A49" s="136"/>
      <x:c r="B49" s="136"/>
      <x:c r="C49" s="136"/>
      <x:c r="D49" s="136"/>
      <x:c r="E49" s="136"/>
      <x:c r="F49" s="136"/>
      <x:c r="G49" s="136"/>
      <x:c r="H49" s="136"/>
      <x:c r="I49" s="136"/>
      <x:c r="J49" s="136"/>
      <x:c r="K49" s="136"/>
      <x:c r="L49" s="136"/>
      <x:c r="M49" s="136"/>
      <x:c r="N49" s="136"/>
      <x:c r="O49" s="136"/>
      <x:c r="P49" s="136"/>
      <x:c r="Q49" s="136"/>
      <x:c r="R49" s="136"/>
      <x:c r="S49" s="136"/>
      <x:c r="T49" s="136"/>
      <x:c r="U49" s="136"/>
      <x:c r="V49" s="136"/>
      <x:c r="W49" s="136"/>
      <x:c r="X49" s="136"/>
      <x:c r="Y49" s="136"/>
      <x:c r="Z49" s="136"/>
    </x:row>
    <x:row r="50">
      <x:c r="A50" s="136"/>
      <x:c r="B50" s="136"/>
      <x:c r="C50" s="136"/>
      <x:c r="D50" s="136"/>
      <x:c r="E50" s="136"/>
      <x:c r="F50" s="136"/>
      <x:c r="G50" s="136"/>
      <x:c r="H50" s="136"/>
      <x:c r="I50" s="136"/>
      <x:c r="J50" s="136"/>
      <x:c r="K50" s="136"/>
      <x:c r="L50" s="136"/>
      <x:c r="M50" s="136"/>
      <x:c r="N50" s="136"/>
      <x:c r="O50" s="136"/>
      <x:c r="P50" s="136"/>
      <x:c r="Q50" s="136"/>
      <x:c r="R50" s="136"/>
      <x:c r="S50" s="136"/>
      <x:c r="T50" s="136"/>
      <x:c r="U50" s="136"/>
      <x:c r="V50" s="136"/>
      <x:c r="W50" s="136"/>
      <x:c r="X50" s="136"/>
      <x:c r="Y50" s="136"/>
      <x:c r="Z50" s="136"/>
    </x:row>
    <x:row r="51">
      <x:c r="A51" s="136"/>
      <x:c r="B51" s="136"/>
      <x:c r="C51" s="136"/>
      <x:c r="D51" s="136"/>
      <x:c r="E51" s="136"/>
      <x:c r="F51" s="136"/>
      <x:c r="G51" s="136"/>
      <x:c r="H51" s="136"/>
      <x:c r="I51" s="136"/>
      <x:c r="J51" s="136"/>
      <x:c r="K51" s="136"/>
      <x:c r="L51" s="136"/>
      <x:c r="M51" s="136"/>
      <x:c r="N51" s="136"/>
      <x:c r="O51" s="136"/>
      <x:c r="P51" s="136"/>
      <x:c r="Q51" s="136"/>
      <x:c r="R51" s="136"/>
      <x:c r="S51" s="136"/>
      <x:c r="T51" s="136"/>
      <x:c r="U51" s="136"/>
      <x:c r="V51" s="136"/>
      <x:c r="W51" s="136"/>
      <x:c r="X51" s="136"/>
      <x:c r="Y51" s="136"/>
      <x:c r="Z51" s="136"/>
    </x:row>
    <x:row r="52">
      <x:c r="A52" s="136"/>
      <x:c r="B52" s="136"/>
      <x:c r="C52" s="136"/>
      <x:c r="D52" s="136"/>
      <x:c r="E52" s="136"/>
      <x:c r="F52" s="136"/>
      <x:c r="G52" s="136"/>
      <x:c r="H52" s="136"/>
      <x:c r="I52" s="136"/>
      <x:c r="J52" s="136"/>
      <x:c r="K52" s="136"/>
      <x:c r="L52" s="136"/>
      <x:c r="M52" s="136"/>
      <x:c r="N52" s="136"/>
      <x:c r="O52" s="136"/>
      <x:c r="P52" s="136"/>
      <x:c r="Q52" s="136"/>
      <x:c r="R52" s="136"/>
      <x:c r="S52" s="136"/>
      <x:c r="T52" s="136"/>
      <x:c r="U52" s="136"/>
      <x:c r="V52" s="136"/>
      <x:c r="W52" s="136"/>
      <x:c r="X52" s="136"/>
      <x:c r="Y52" s="136"/>
      <x:c r="Z52" s="136"/>
    </x:row>
    <x:row r="53">
      <x:c r="A53" s="136"/>
      <x:c r="B53" s="136"/>
      <x:c r="C53" s="136"/>
      <x:c r="D53" s="136"/>
      <x:c r="E53" s="136"/>
      <x:c r="F53" s="136"/>
      <x:c r="G53" s="136"/>
      <x:c r="H53" s="136"/>
      <x:c r="I53" s="136"/>
      <x:c r="J53" s="136"/>
      <x:c r="K53" s="136"/>
      <x:c r="L53" s="136"/>
      <x:c r="M53" s="136"/>
      <x:c r="N53" s="136"/>
      <x:c r="O53" s="136"/>
      <x:c r="P53" s="136"/>
      <x:c r="Q53" s="136"/>
      <x:c r="R53" s="136"/>
      <x:c r="S53" s="136"/>
      <x:c r="T53" s="136"/>
      <x:c r="U53" s="136"/>
      <x:c r="V53" s="136"/>
      <x:c r="W53" s="136"/>
      <x:c r="X53" s="136"/>
      <x:c r="Y53" s="136"/>
      <x:c r="Z53" s="136"/>
    </x:row>
    <x:row r="54">
      <x:c r="A54" s="136"/>
      <x:c r="B54" s="136"/>
      <x:c r="C54" s="136"/>
      <x:c r="D54" s="136"/>
      <x:c r="E54" s="136"/>
      <x:c r="F54" s="136"/>
      <x:c r="G54" s="136"/>
      <x:c r="H54" s="136"/>
      <x:c r="I54" s="136"/>
      <x:c r="J54" s="136"/>
      <x:c r="K54" s="136"/>
      <x:c r="L54" s="136"/>
      <x:c r="M54" s="136"/>
      <x:c r="N54" s="136"/>
      <x:c r="O54" s="136"/>
      <x:c r="P54" s="136"/>
      <x:c r="Q54" s="136"/>
      <x:c r="R54" s="136"/>
      <x:c r="S54" s="136"/>
      <x:c r="T54" s="136"/>
      <x:c r="U54" s="136"/>
      <x:c r="V54" s="136"/>
      <x:c r="W54" s="136"/>
      <x:c r="X54" s="136"/>
      <x:c r="Y54" s="136"/>
      <x:c r="Z54" s="136"/>
    </x:row>
    <x:row r="55">
      <x:c r="A55" s="136"/>
      <x:c r="B55" s="136"/>
      <x:c r="C55" s="136"/>
      <x:c r="D55" s="136"/>
      <x:c r="E55" s="136"/>
      <x:c r="F55" s="136"/>
      <x:c r="G55" s="136"/>
      <x:c r="H55" s="136"/>
      <x:c r="I55" s="136"/>
      <x:c r="J55" s="136"/>
      <x:c r="K55" s="136"/>
      <x:c r="L55" s="136"/>
      <x:c r="M55" s="136"/>
      <x:c r="N55" s="136"/>
      <x:c r="O55" s="136"/>
      <x:c r="P55" s="136"/>
      <x:c r="Q55" s="136"/>
      <x:c r="R55" s="136"/>
      <x:c r="S55" s="136"/>
      <x:c r="T55" s="136"/>
      <x:c r="U55" s="136"/>
      <x:c r="V55" s="136"/>
      <x:c r="W55" s="136"/>
      <x:c r="X55" s="136"/>
      <x:c r="Y55" s="136"/>
      <x:c r="Z55" s="136"/>
    </x:row>
    <x:row r="56">
      <x:c r="A56" s="136"/>
      <x:c r="B56" s="136"/>
      <x:c r="C56" s="136"/>
      <x:c r="D56" s="136"/>
      <x:c r="E56" s="136"/>
      <x:c r="F56" s="136"/>
      <x:c r="G56" s="136"/>
      <x:c r="H56" s="136"/>
      <x:c r="I56" s="136"/>
      <x:c r="J56" s="136"/>
      <x:c r="K56" s="136"/>
      <x:c r="L56" s="136"/>
      <x:c r="M56" s="136"/>
      <x:c r="N56" s="136"/>
      <x:c r="O56" s="136"/>
      <x:c r="P56" s="136"/>
      <x:c r="Q56" s="136"/>
      <x:c r="R56" s="136"/>
      <x:c r="S56" s="136"/>
      <x:c r="T56" s="136"/>
      <x:c r="U56" s="136"/>
      <x:c r="V56" s="136"/>
      <x:c r="W56" s="136"/>
      <x:c r="X56" s="136"/>
      <x:c r="Y56" s="136"/>
      <x:c r="Z56" s="136"/>
    </x:row>
    <x:row r="57">
      <x:c r="A57" s="136"/>
      <x:c r="B57" s="136"/>
      <x:c r="C57" s="136"/>
      <x:c r="D57" s="136"/>
      <x:c r="E57" s="136"/>
      <x:c r="F57" s="136"/>
      <x:c r="G57" s="136"/>
      <x:c r="H57" s="136"/>
      <x:c r="I57" s="136"/>
      <x:c r="J57" s="136"/>
      <x:c r="K57" s="136"/>
      <x:c r="L57" s="136"/>
      <x:c r="M57" s="136"/>
      <x:c r="N57" s="136"/>
      <x:c r="O57" s="136"/>
      <x:c r="P57" s="136"/>
      <x:c r="Q57" s="136"/>
      <x:c r="R57" s="136"/>
      <x:c r="S57" s="136"/>
      <x:c r="T57" s="136"/>
      <x:c r="U57" s="136"/>
      <x:c r="V57" s="136"/>
      <x:c r="W57" s="136"/>
      <x:c r="X57" s="136"/>
      <x:c r="Y57" s="136"/>
      <x:c r="Z57" s="136"/>
    </x:row>
    <x:row r="58">
      <x:c r="A58" s="136"/>
      <x:c r="B58" s="136"/>
      <x:c r="C58" s="136"/>
      <x:c r="D58" s="136"/>
      <x:c r="E58" s="136"/>
      <x:c r="F58" s="136"/>
      <x:c r="G58" s="136"/>
      <x:c r="H58" s="136"/>
      <x:c r="I58" s="136"/>
      <x:c r="J58" s="136"/>
      <x:c r="K58" s="136"/>
      <x:c r="L58" s="136"/>
      <x:c r="M58" s="136"/>
      <x:c r="N58" s="136"/>
      <x:c r="O58" s="136"/>
      <x:c r="P58" s="136"/>
      <x:c r="Q58" s="136"/>
      <x:c r="R58" s="136"/>
      <x:c r="S58" s="136"/>
      <x:c r="T58" s="136"/>
      <x:c r="U58" s="136"/>
      <x:c r="V58" s="136"/>
      <x:c r="W58" s="136"/>
      <x:c r="X58" s="136"/>
      <x:c r="Y58" s="136"/>
      <x:c r="Z58" s="136"/>
    </x:row>
    <x:row r="59">
      <x:c r="A59" s="136"/>
      <x:c r="B59" s="136"/>
      <x:c r="C59" s="136"/>
      <x:c r="D59" s="136"/>
      <x:c r="E59" s="136"/>
      <x:c r="F59" s="136"/>
      <x:c r="G59" s="136"/>
      <x:c r="H59" s="136"/>
      <x:c r="I59" s="136"/>
      <x:c r="J59" s="136"/>
      <x:c r="K59" s="136"/>
      <x:c r="L59" s="136"/>
      <x:c r="M59" s="136"/>
      <x:c r="N59" s="136"/>
      <x:c r="O59" s="136"/>
      <x:c r="P59" s="136"/>
      <x:c r="Q59" s="136"/>
      <x:c r="R59" s="136"/>
      <x:c r="S59" s="136"/>
      <x:c r="T59" s="136"/>
      <x:c r="U59" s="136"/>
      <x:c r="V59" s="136"/>
      <x:c r="W59" s="136"/>
      <x:c r="X59" s="136"/>
      <x:c r="Y59" s="136"/>
      <x:c r="Z59" s="136"/>
    </x:row>
    <x:row r="60">
      <x:c r="A60" s="136"/>
      <x:c r="B60" s="136"/>
      <x:c r="C60" s="136"/>
      <x:c r="D60" s="136"/>
      <x:c r="E60" s="136"/>
      <x:c r="F60" s="136"/>
      <x:c r="G60" s="136"/>
      <x:c r="H60" s="136"/>
      <x:c r="I60" s="136"/>
      <x:c r="J60" s="136"/>
      <x:c r="K60" s="136"/>
      <x:c r="L60" s="136"/>
      <x:c r="M60" s="136"/>
      <x:c r="N60" s="136"/>
      <x:c r="O60" s="136"/>
      <x:c r="P60" s="136"/>
      <x:c r="Q60" s="136"/>
      <x:c r="R60" s="136"/>
      <x:c r="S60" s="136"/>
      <x:c r="T60" s="136"/>
      <x:c r="U60" s="136"/>
      <x:c r="V60" s="136"/>
      <x:c r="W60" s="136"/>
      <x:c r="X60" s="136"/>
      <x:c r="Y60" s="136"/>
      <x:c r="Z60" s="136"/>
    </x:row>
    <x:row r="61">
      <x:c r="A61" s="136"/>
      <x:c r="B61" s="136"/>
      <x:c r="C61" s="136"/>
      <x:c r="D61" s="136"/>
      <x:c r="E61" s="136"/>
      <x:c r="F61" s="136"/>
      <x:c r="G61" s="136"/>
      <x:c r="H61" s="136"/>
      <x:c r="I61" s="136"/>
      <x:c r="J61" s="136"/>
      <x:c r="K61" s="136"/>
      <x:c r="L61" s="136"/>
      <x:c r="M61" s="136"/>
      <x:c r="N61" s="136"/>
      <x:c r="O61" s="136"/>
      <x:c r="P61" s="136"/>
      <x:c r="Q61" s="136"/>
      <x:c r="R61" s="136"/>
      <x:c r="S61" s="136"/>
      <x:c r="T61" s="136"/>
      <x:c r="U61" s="136"/>
      <x:c r="V61" s="136"/>
      <x:c r="W61" s="136"/>
      <x:c r="X61" s="136"/>
      <x:c r="Y61" s="136"/>
      <x:c r="Z61" s="136"/>
    </x:row>
    <x:row r="62">
      <x:c r="A62" s="136"/>
      <x:c r="B62" s="136"/>
      <x:c r="C62" s="136"/>
      <x:c r="D62" s="136"/>
      <x:c r="E62" s="136"/>
      <x:c r="F62" s="136"/>
      <x:c r="G62" s="136"/>
      <x:c r="H62" s="136"/>
      <x:c r="I62" s="136"/>
      <x:c r="J62" s="136"/>
      <x:c r="K62" s="136"/>
      <x:c r="L62" s="136"/>
      <x:c r="M62" s="136"/>
      <x:c r="N62" s="136"/>
      <x:c r="O62" s="136"/>
      <x:c r="P62" s="136"/>
      <x:c r="Q62" s="136"/>
      <x:c r="R62" s="136"/>
      <x:c r="S62" s="136"/>
      <x:c r="T62" s="136"/>
      <x:c r="U62" s="136"/>
      <x:c r="V62" s="136"/>
      <x:c r="W62" s="136"/>
      <x:c r="X62" s="136"/>
      <x:c r="Y62" s="136"/>
      <x:c r="Z62" s="136"/>
    </x:row>
    <x:row r="63">
      <x:c r="A63" s="136"/>
      <x:c r="B63" s="136"/>
      <x:c r="C63" s="136"/>
      <x:c r="D63" s="136"/>
      <x:c r="E63" s="136"/>
      <x:c r="F63" s="136"/>
      <x:c r="G63" s="136"/>
      <x:c r="H63" s="136"/>
      <x:c r="I63" s="136"/>
      <x:c r="J63" s="136"/>
      <x:c r="K63" s="136"/>
      <x:c r="L63" s="136"/>
      <x:c r="M63" s="136"/>
      <x:c r="N63" s="136"/>
      <x:c r="O63" s="136"/>
      <x:c r="P63" s="136"/>
      <x:c r="Q63" s="136"/>
      <x:c r="R63" s="136"/>
      <x:c r="S63" s="136"/>
      <x:c r="T63" s="136"/>
      <x:c r="U63" s="136"/>
      <x:c r="V63" s="136"/>
      <x:c r="W63" s="136"/>
      <x:c r="X63" s="136"/>
      <x:c r="Y63" s="136"/>
      <x:c r="Z63" s="136"/>
    </x:row>
    <x:row r="64">
      <x:c r="A64" s="136"/>
      <x:c r="B64" s="136"/>
      <x:c r="C64" s="136"/>
      <x:c r="D64" s="136"/>
      <x:c r="E64" s="136"/>
      <x:c r="F64" s="136"/>
      <x:c r="G64" s="136"/>
      <x:c r="H64" s="136"/>
      <x:c r="I64" s="136"/>
      <x:c r="J64" s="136"/>
      <x:c r="K64" s="136"/>
      <x:c r="L64" s="136"/>
      <x:c r="M64" s="136"/>
      <x:c r="N64" s="136"/>
      <x:c r="O64" s="136"/>
      <x:c r="P64" s="136"/>
      <x:c r="Q64" s="136"/>
      <x:c r="R64" s="136"/>
      <x:c r="S64" s="136"/>
      <x:c r="T64" s="136"/>
      <x:c r="U64" s="136"/>
      <x:c r="V64" s="136"/>
      <x:c r="W64" s="136"/>
      <x:c r="X64" s="136"/>
      <x:c r="Y64" s="136"/>
      <x:c r="Z64" s="136"/>
    </x:row>
    <x:row r="65">
      <x:c r="A65" s="136"/>
      <x:c r="B65" s="136"/>
      <x:c r="C65" s="136"/>
      <x:c r="D65" s="136"/>
      <x:c r="E65" s="136"/>
      <x:c r="F65" s="136"/>
      <x:c r="G65" s="136"/>
      <x:c r="H65" s="136"/>
      <x:c r="I65" s="136"/>
      <x:c r="J65" s="136"/>
      <x:c r="K65" s="136"/>
      <x:c r="L65" s="136"/>
      <x:c r="M65" s="136"/>
      <x:c r="N65" s="136"/>
      <x:c r="O65" s="136"/>
      <x:c r="P65" s="136"/>
      <x:c r="Q65" s="136"/>
      <x:c r="R65" s="136"/>
      <x:c r="S65" s="136"/>
      <x:c r="T65" s="136"/>
      <x:c r="U65" s="136"/>
      <x:c r="V65" s="136"/>
      <x:c r="W65" s="136"/>
      <x:c r="X65" s="136"/>
      <x:c r="Y65" s="136"/>
      <x:c r="Z65" s="136"/>
    </x:row>
    <x:row r="66">
      <x:c r="A66" s="136"/>
      <x:c r="B66" s="136"/>
      <x:c r="C66" s="136"/>
      <x:c r="D66" s="136"/>
      <x:c r="E66" s="136"/>
      <x:c r="F66" s="136"/>
      <x:c r="G66" s="136"/>
      <x:c r="H66" s="136"/>
      <x:c r="I66" s="136"/>
      <x:c r="J66" s="136"/>
      <x:c r="K66" s="136"/>
      <x:c r="L66" s="136"/>
      <x:c r="M66" s="136"/>
      <x:c r="N66" s="136"/>
      <x:c r="O66" s="136"/>
      <x:c r="P66" s="136"/>
      <x:c r="Q66" s="136"/>
      <x:c r="R66" s="136"/>
      <x:c r="S66" s="136"/>
      <x:c r="T66" s="136"/>
      <x:c r="U66" s="136"/>
      <x:c r="V66" s="136"/>
      <x:c r="W66" s="136"/>
      <x:c r="X66" s="136"/>
      <x:c r="Y66" s="136"/>
      <x:c r="Z66" s="136"/>
    </x:row>
    <x:row r="67">
      <x:c r="A67" s="136"/>
      <x:c r="B67" s="136"/>
      <x:c r="C67" s="136"/>
      <x:c r="D67" s="136"/>
      <x:c r="E67" s="136"/>
      <x:c r="F67" s="136"/>
      <x:c r="G67" s="136"/>
      <x:c r="H67" s="136"/>
      <x:c r="I67" s="136"/>
      <x:c r="J67" s="136"/>
      <x:c r="K67" s="136"/>
      <x:c r="L67" s="136"/>
      <x:c r="M67" s="136"/>
      <x:c r="N67" s="136"/>
      <x:c r="O67" s="136"/>
      <x:c r="P67" s="136"/>
      <x:c r="Q67" s="136"/>
      <x:c r="R67" s="136"/>
      <x:c r="S67" s="136"/>
      <x:c r="T67" s="136"/>
      <x:c r="U67" s="136"/>
      <x:c r="V67" s="136"/>
      <x:c r="W67" s="136"/>
      <x:c r="X67" s="136"/>
      <x:c r="Y67" s="136"/>
      <x:c r="Z67" s="136"/>
    </x:row>
    <x:row r="68">
      <x:c r="A68" s="136"/>
      <x:c r="B68" s="136"/>
      <x:c r="C68" s="136"/>
      <x:c r="D68" s="136"/>
      <x:c r="E68" s="136"/>
      <x:c r="F68" s="136"/>
      <x:c r="G68" s="136"/>
      <x:c r="H68" s="136"/>
      <x:c r="I68" s="136"/>
      <x:c r="J68" s="136"/>
      <x:c r="K68" s="136"/>
      <x:c r="L68" s="136"/>
      <x:c r="M68" s="136"/>
      <x:c r="N68" s="136"/>
      <x:c r="O68" s="136"/>
      <x:c r="P68" s="136"/>
      <x:c r="Q68" s="136"/>
      <x:c r="R68" s="136"/>
      <x:c r="S68" s="136"/>
      <x:c r="T68" s="136"/>
      <x:c r="U68" s="136"/>
      <x:c r="V68" s="136"/>
      <x:c r="W68" s="136"/>
      <x:c r="X68" s="136"/>
      <x:c r="Y68" s="136"/>
      <x:c r="Z68" s="136"/>
    </x:row>
    <x:row r="69">
      <x:c r="A69" s="136"/>
      <x:c r="B69" s="136"/>
      <x:c r="C69" s="136"/>
      <x:c r="D69" s="136"/>
      <x:c r="E69" s="136"/>
      <x:c r="F69" s="136"/>
      <x:c r="G69" s="136"/>
      <x:c r="H69" s="136"/>
      <x:c r="I69" s="136"/>
      <x:c r="J69" s="136"/>
      <x:c r="K69" s="136"/>
      <x:c r="L69" s="136"/>
      <x:c r="M69" s="136"/>
      <x:c r="N69" s="136"/>
      <x:c r="O69" s="136"/>
      <x:c r="P69" s="136"/>
      <x:c r="Q69" s="136"/>
      <x:c r="R69" s="136"/>
      <x:c r="S69" s="136"/>
      <x:c r="T69" s="136"/>
      <x:c r="U69" s="136"/>
      <x:c r="V69" s="136"/>
      <x:c r="W69" s="136"/>
      <x:c r="X69" s="136"/>
      <x:c r="Y69" s="136"/>
      <x:c r="Z69" s="136"/>
    </x:row>
    <x:row r="70">
      <x:c r="A70" s="136"/>
      <x:c r="B70" s="136"/>
      <x:c r="C70" s="136"/>
      <x:c r="D70" s="136"/>
      <x:c r="E70" s="136"/>
      <x:c r="F70" s="136"/>
      <x:c r="G70" s="136"/>
      <x:c r="H70" s="136"/>
      <x:c r="I70" s="136"/>
      <x:c r="J70" s="136"/>
      <x:c r="K70" s="136"/>
      <x:c r="L70" s="136"/>
      <x:c r="M70" s="136"/>
      <x:c r="N70" s="136"/>
      <x:c r="O70" s="136"/>
      <x:c r="P70" s="136"/>
      <x:c r="Q70" s="136"/>
      <x:c r="R70" s="136"/>
      <x:c r="S70" s="136"/>
      <x:c r="T70" s="136"/>
      <x:c r="U70" s="136"/>
      <x:c r="V70" s="136"/>
      <x:c r="W70" s="136"/>
      <x:c r="X70" s="136"/>
      <x:c r="Y70" s="136"/>
      <x:c r="Z70" s="136"/>
    </x:row>
    <x:row r="71">
      <x:c r="A71" s="136"/>
      <x:c r="B71" s="136"/>
      <x:c r="C71" s="136"/>
      <x:c r="D71" s="136"/>
      <x:c r="E71" s="136"/>
      <x:c r="F71" s="136"/>
      <x:c r="G71" s="136"/>
      <x:c r="H71" s="136"/>
      <x:c r="I71" s="136"/>
      <x:c r="J71" s="136"/>
      <x:c r="K71" s="136"/>
      <x:c r="L71" s="136"/>
      <x:c r="M71" s="136"/>
      <x:c r="N71" s="136"/>
      <x:c r="O71" s="136"/>
      <x:c r="P71" s="136"/>
      <x:c r="Q71" s="136"/>
      <x:c r="R71" s="136"/>
      <x:c r="S71" s="136"/>
      <x:c r="T71" s="136"/>
      <x:c r="U71" s="136"/>
      <x:c r="V71" s="136"/>
      <x:c r="W71" s="136"/>
      <x:c r="X71" s="136"/>
      <x:c r="Y71" s="136"/>
      <x:c r="Z71" s="136"/>
    </x:row>
    <x:row r="72">
      <x:c r="A72" s="136"/>
      <x:c r="B72" s="136"/>
      <x:c r="C72" s="136"/>
      <x:c r="D72" s="136"/>
      <x:c r="E72" s="136"/>
      <x:c r="F72" s="136"/>
      <x:c r="G72" s="136"/>
      <x:c r="H72" s="136"/>
      <x:c r="I72" s="136"/>
      <x:c r="J72" s="136"/>
      <x:c r="K72" s="136"/>
      <x:c r="L72" s="136"/>
      <x:c r="M72" s="136"/>
      <x:c r="N72" s="136"/>
      <x:c r="O72" s="136"/>
      <x:c r="P72" s="136"/>
      <x:c r="Q72" s="136"/>
      <x:c r="R72" s="136"/>
      <x:c r="S72" s="136"/>
      <x:c r="T72" s="136"/>
      <x:c r="U72" s="136"/>
      <x:c r="V72" s="136"/>
      <x:c r="W72" s="136"/>
      <x:c r="X72" s="136"/>
      <x:c r="Y72" s="136"/>
      <x:c r="Z72" s="136"/>
    </x:row>
    <x:row r="73">
      <x:c r="A73" s="136"/>
      <x:c r="B73" s="136"/>
      <x:c r="C73" s="136"/>
      <x:c r="D73" s="136"/>
      <x:c r="E73" s="136"/>
      <x:c r="F73" s="136"/>
      <x:c r="G73" s="136"/>
      <x:c r="H73" s="136"/>
      <x:c r="I73" s="136"/>
      <x:c r="J73" s="136"/>
      <x:c r="K73" s="136"/>
      <x:c r="L73" s="136"/>
      <x:c r="M73" s="136"/>
      <x:c r="N73" s="136"/>
      <x:c r="O73" s="136"/>
      <x:c r="P73" s="136"/>
      <x:c r="Q73" s="136"/>
      <x:c r="R73" s="136"/>
      <x:c r="S73" s="136"/>
      <x:c r="T73" s="136"/>
      <x:c r="U73" s="136"/>
      <x:c r="V73" s="136"/>
      <x:c r="W73" s="136"/>
      <x:c r="X73" s="136"/>
      <x:c r="Y73" s="136"/>
      <x:c r="Z73" s="136"/>
    </x:row>
    <x:row r="74">
      <x:c r="A74" s="136"/>
      <x:c r="B74" s="136"/>
      <x:c r="C74" s="136"/>
      <x:c r="D74" s="136"/>
      <x:c r="E74" s="136"/>
      <x:c r="F74" s="136"/>
      <x:c r="G74" s="136"/>
      <x:c r="H74" s="136"/>
      <x:c r="I74" s="136"/>
      <x:c r="J74" s="136"/>
      <x:c r="K74" s="136"/>
      <x:c r="L74" s="136"/>
      <x:c r="M74" s="136"/>
      <x:c r="N74" s="136"/>
      <x:c r="O74" s="136"/>
      <x:c r="P74" s="136"/>
      <x:c r="Q74" s="136"/>
      <x:c r="R74" s="136"/>
      <x:c r="S74" s="136"/>
      <x:c r="T74" s="136"/>
      <x:c r="U74" s="136"/>
      <x:c r="V74" s="136"/>
      <x:c r="W74" s="136"/>
      <x:c r="X74" s="136"/>
      <x:c r="Y74" s="136"/>
      <x:c r="Z74" s="136"/>
    </x:row>
    <x:row r="75">
      <x:c r="A75" s="136"/>
      <x:c r="B75" s="136"/>
      <x:c r="C75" s="136"/>
      <x:c r="D75" s="136"/>
      <x:c r="E75" s="136"/>
      <x:c r="F75" s="136"/>
      <x:c r="G75" s="136"/>
      <x:c r="H75" s="136"/>
      <x:c r="I75" s="136"/>
      <x:c r="J75" s="136"/>
      <x:c r="K75" s="136"/>
      <x:c r="L75" s="136"/>
      <x:c r="M75" s="136"/>
      <x:c r="N75" s="136"/>
      <x:c r="O75" s="136"/>
      <x:c r="P75" s="136"/>
      <x:c r="Q75" s="136"/>
      <x:c r="R75" s="136"/>
      <x:c r="S75" s="136"/>
      <x:c r="T75" s="136"/>
      <x:c r="U75" s="136"/>
      <x:c r="V75" s="136"/>
      <x:c r="W75" s="136"/>
      <x:c r="X75" s="136"/>
      <x:c r="Y75" s="136"/>
      <x:c r="Z75" s="136"/>
    </x:row>
    <x:row r="76">
      <x:c r="A76" s="136"/>
      <x:c r="B76" s="136"/>
      <x:c r="C76" s="136"/>
      <x:c r="D76" s="136"/>
      <x:c r="E76" s="136"/>
      <x:c r="F76" s="136"/>
      <x:c r="G76" s="136"/>
      <x:c r="H76" s="136"/>
      <x:c r="I76" s="136"/>
      <x:c r="J76" s="136"/>
      <x:c r="K76" s="136"/>
      <x:c r="L76" s="136"/>
      <x:c r="M76" s="136"/>
      <x:c r="N76" s="136"/>
      <x:c r="O76" s="136"/>
      <x:c r="P76" s="136"/>
      <x:c r="Q76" s="136"/>
      <x:c r="R76" s="136"/>
      <x:c r="S76" s="136"/>
      <x:c r="T76" s="136"/>
      <x:c r="U76" s="136"/>
      <x:c r="V76" s="136"/>
      <x:c r="W76" s="136"/>
      <x:c r="X76" s="136"/>
      <x:c r="Y76" s="136"/>
      <x:c r="Z76" s="136"/>
    </x:row>
    <x:row r="77">
      <x:c r="A77" s="136"/>
      <x:c r="B77" s="136"/>
      <x:c r="C77" s="136"/>
      <x:c r="D77" s="136"/>
      <x:c r="E77" s="136"/>
      <x:c r="F77" s="136"/>
      <x:c r="G77" s="136"/>
      <x:c r="H77" s="136"/>
      <x:c r="I77" s="136"/>
      <x:c r="J77" s="136"/>
      <x:c r="K77" s="136"/>
      <x:c r="L77" s="136"/>
      <x:c r="M77" s="136"/>
      <x:c r="N77" s="136"/>
      <x:c r="O77" s="136"/>
      <x:c r="P77" s="136"/>
      <x:c r="Q77" s="136"/>
      <x:c r="R77" s="136"/>
      <x:c r="S77" s="136"/>
      <x:c r="T77" s="136"/>
      <x:c r="U77" s="136"/>
      <x:c r="V77" s="136"/>
      <x:c r="W77" s="136"/>
      <x:c r="X77" s="136"/>
      <x:c r="Y77" s="136"/>
      <x:c r="Z77" s="136"/>
    </x:row>
    <x:row r="78">
      <x:c r="A78" s="136"/>
      <x:c r="B78" s="136"/>
      <x:c r="C78" s="136"/>
      <x:c r="D78" s="136"/>
      <x:c r="E78" s="136"/>
      <x:c r="F78" s="136"/>
      <x:c r="G78" s="136"/>
      <x:c r="H78" s="136"/>
      <x:c r="I78" s="136"/>
      <x:c r="J78" s="136"/>
      <x:c r="K78" s="136"/>
      <x:c r="L78" s="136"/>
      <x:c r="M78" s="136"/>
      <x:c r="N78" s="136"/>
      <x:c r="O78" s="136"/>
      <x:c r="P78" s="136"/>
      <x:c r="Q78" s="136"/>
      <x:c r="R78" s="136"/>
      <x:c r="S78" s="136"/>
      <x:c r="T78" s="136"/>
      <x:c r="U78" s="136"/>
      <x:c r="V78" s="136"/>
      <x:c r="W78" s="136"/>
      <x:c r="X78" s="136"/>
      <x:c r="Y78" s="136"/>
      <x:c r="Z78" s="136"/>
    </x:row>
    <x:row r="79">
      <x:c r="A79" s="136"/>
      <x:c r="B79" s="136"/>
      <x:c r="C79" s="136"/>
      <x:c r="D79" s="136"/>
      <x:c r="E79" s="136"/>
      <x:c r="F79" s="136"/>
      <x:c r="G79" s="136"/>
      <x:c r="H79" s="136"/>
      <x:c r="I79" s="136"/>
      <x:c r="J79" s="136"/>
      <x:c r="K79" s="136"/>
      <x:c r="L79" s="136"/>
      <x:c r="M79" s="136"/>
      <x:c r="N79" s="136"/>
      <x:c r="O79" s="136"/>
      <x:c r="P79" s="136"/>
      <x:c r="Q79" s="136"/>
      <x:c r="R79" s="136"/>
      <x:c r="S79" s="136"/>
      <x:c r="T79" s="136"/>
      <x:c r="U79" s="136"/>
      <x:c r="V79" s="136"/>
      <x:c r="W79" s="136"/>
      <x:c r="X79" s="136"/>
      <x:c r="Y79" s="136"/>
      <x:c r="Z79" s="136"/>
    </x:row>
    <x:row r="80">
      <x:c r="A80" s="136"/>
      <x:c r="B80" s="136"/>
      <x:c r="C80" s="136"/>
      <x:c r="D80" s="136"/>
      <x:c r="E80" s="136"/>
      <x:c r="F80" s="136"/>
      <x:c r="G80" s="136"/>
      <x:c r="H80" s="136"/>
      <x:c r="I80" s="136"/>
      <x:c r="J80" s="136"/>
      <x:c r="K80" s="136"/>
      <x:c r="L80" s="136"/>
      <x:c r="M80" s="136"/>
      <x:c r="N80" s="136"/>
      <x:c r="O80" s="136"/>
      <x:c r="P80" s="136"/>
      <x:c r="Q80" s="136"/>
      <x:c r="R80" s="136"/>
      <x:c r="S80" s="136"/>
      <x:c r="T80" s="136"/>
      <x:c r="U80" s="136"/>
      <x:c r="V80" s="136"/>
      <x:c r="W80" s="136"/>
      <x:c r="X80" s="136"/>
      <x:c r="Y80" s="136"/>
      <x:c r="Z80" s="136"/>
    </x:row>
    <x:row r="81">
      <x:c r="A81" s="136"/>
      <x:c r="B81" s="136"/>
      <x:c r="C81" s="136"/>
      <x:c r="D81" s="136"/>
      <x:c r="E81" s="136"/>
      <x:c r="F81" s="136"/>
      <x:c r="G81" s="136"/>
      <x:c r="H81" s="136"/>
      <x:c r="I81" s="136"/>
      <x:c r="J81" s="136"/>
      <x:c r="K81" s="136"/>
      <x:c r="L81" s="136"/>
      <x:c r="M81" s="136"/>
      <x:c r="N81" s="136"/>
      <x:c r="O81" s="136"/>
      <x:c r="P81" s="136"/>
      <x:c r="Q81" s="136"/>
      <x:c r="R81" s="136"/>
      <x:c r="S81" s="136"/>
      <x:c r="T81" s="136"/>
      <x:c r="U81" s="136"/>
      <x:c r="V81" s="136"/>
      <x:c r="W81" s="136"/>
      <x:c r="X81" s="136"/>
      <x:c r="Y81" s="136"/>
      <x:c r="Z81" s="136"/>
    </x:row>
    <x:row r="82">
      <x:c r="A82" s="136"/>
      <x:c r="B82" s="136"/>
      <x:c r="C82" s="136"/>
      <x:c r="D82" s="136"/>
      <x:c r="E82" s="136"/>
      <x:c r="F82" s="136"/>
      <x:c r="G82" s="136"/>
      <x:c r="H82" s="136"/>
      <x:c r="I82" s="136"/>
      <x:c r="J82" s="136"/>
      <x:c r="K82" s="136"/>
      <x:c r="L82" s="136"/>
      <x:c r="M82" s="136"/>
      <x:c r="N82" s="136"/>
      <x:c r="O82" s="136"/>
      <x:c r="P82" s="136"/>
      <x:c r="Q82" s="136"/>
      <x:c r="R82" s="136"/>
      <x:c r="S82" s="136"/>
      <x:c r="T82" s="136"/>
      <x:c r="U82" s="136"/>
      <x:c r="V82" s="136"/>
      <x:c r="W82" s="136"/>
      <x:c r="X82" s="136"/>
      <x:c r="Y82" s="136"/>
      <x:c r="Z82" s="136"/>
    </x:row>
    <x:row r="83">
      <x:c r="A83" s="136"/>
      <x:c r="B83" s="136"/>
      <x:c r="C83" s="136"/>
      <x:c r="D83" s="136"/>
      <x:c r="E83" s="136"/>
      <x:c r="F83" s="136"/>
      <x:c r="G83" s="136"/>
      <x:c r="H83" s="136"/>
      <x:c r="I83" s="136"/>
      <x:c r="J83" s="136"/>
      <x:c r="K83" s="136"/>
      <x:c r="L83" s="136"/>
      <x:c r="M83" s="136"/>
      <x:c r="N83" s="136"/>
      <x:c r="O83" s="136"/>
      <x:c r="P83" s="136"/>
      <x:c r="Q83" s="136"/>
      <x:c r="R83" s="136"/>
      <x:c r="S83" s="136"/>
      <x:c r="T83" s="136"/>
      <x:c r="U83" s="136"/>
      <x:c r="V83" s="136"/>
      <x:c r="W83" s="136"/>
      <x:c r="X83" s="136"/>
      <x:c r="Y83" s="136"/>
      <x:c r="Z83" s="136"/>
    </x:row>
    <x:row r="84">
      <x:c r="A84" s="136"/>
      <x:c r="B84" s="136"/>
      <x:c r="C84" s="136"/>
      <x:c r="D84" s="136"/>
      <x:c r="E84" s="136"/>
      <x:c r="F84" s="136"/>
      <x:c r="G84" s="136"/>
      <x:c r="H84" s="136"/>
      <x:c r="I84" s="136"/>
      <x:c r="J84" s="136"/>
      <x:c r="K84" s="136"/>
      <x:c r="L84" s="136"/>
      <x:c r="M84" s="136"/>
      <x:c r="N84" s="136"/>
      <x:c r="O84" s="136"/>
      <x:c r="P84" s="136"/>
      <x:c r="Q84" s="136"/>
      <x:c r="R84" s="136"/>
      <x:c r="S84" s="136"/>
      <x:c r="T84" s="136"/>
      <x:c r="U84" s="136"/>
      <x:c r="V84" s="136"/>
      <x:c r="W84" s="136"/>
      <x:c r="X84" s="136"/>
      <x:c r="Y84" s="136"/>
      <x:c r="Z84" s="136"/>
    </x:row>
    <x:row r="85">
      <x:c r="A85" s="136"/>
      <x:c r="B85" s="136"/>
      <x:c r="C85" s="136"/>
      <x:c r="D85" s="136"/>
      <x:c r="E85" s="136"/>
      <x:c r="F85" s="136"/>
      <x:c r="G85" s="136"/>
      <x:c r="H85" s="136"/>
      <x:c r="I85" s="136"/>
      <x:c r="J85" s="136"/>
      <x:c r="K85" s="136"/>
      <x:c r="L85" s="136"/>
      <x:c r="M85" s="136"/>
      <x:c r="N85" s="136"/>
      <x:c r="O85" s="136"/>
      <x:c r="P85" s="136"/>
      <x:c r="Q85" s="136"/>
      <x:c r="R85" s="136"/>
      <x:c r="S85" s="136"/>
      <x:c r="T85" s="136"/>
      <x:c r="U85" s="136"/>
      <x:c r="V85" s="136"/>
      <x:c r="W85" s="136"/>
      <x:c r="X85" s="136"/>
      <x:c r="Y85" s="136"/>
      <x:c r="Z85" s="136"/>
    </x:row>
    <x:row r="86">
      <x:c r="A86" s="136"/>
      <x:c r="B86" s="136"/>
      <x:c r="C86" s="136"/>
      <x:c r="D86" s="136"/>
      <x:c r="E86" s="136"/>
      <x:c r="F86" s="136"/>
      <x:c r="G86" s="136"/>
      <x:c r="H86" s="136"/>
      <x:c r="I86" s="136"/>
      <x:c r="J86" s="136"/>
      <x:c r="K86" s="136"/>
      <x:c r="L86" s="136"/>
      <x:c r="M86" s="136"/>
      <x:c r="N86" s="136"/>
      <x:c r="O86" s="136"/>
      <x:c r="P86" s="136"/>
      <x:c r="Q86" s="136"/>
      <x:c r="R86" s="136"/>
      <x:c r="S86" s="136"/>
      <x:c r="T86" s="136"/>
      <x:c r="U86" s="136"/>
      <x:c r="V86" s="136"/>
      <x:c r="W86" s="136"/>
      <x:c r="X86" s="136"/>
      <x:c r="Y86" s="136"/>
      <x:c r="Z86" s="136"/>
    </x:row>
    <x:row r="87">
      <x:c r="A87" s="136"/>
      <x:c r="B87" s="136"/>
      <x:c r="C87" s="136"/>
      <x:c r="D87" s="136"/>
      <x:c r="E87" s="136"/>
      <x:c r="F87" s="136"/>
      <x:c r="G87" s="136"/>
      <x:c r="H87" s="136"/>
      <x:c r="I87" s="136"/>
      <x:c r="J87" s="136"/>
      <x:c r="K87" s="136"/>
      <x:c r="L87" s="136"/>
      <x:c r="M87" s="136"/>
      <x:c r="N87" s="136"/>
      <x:c r="O87" s="136"/>
      <x:c r="P87" s="136"/>
      <x:c r="Q87" s="136"/>
      <x:c r="R87" s="136"/>
      <x:c r="S87" s="136"/>
      <x:c r="T87" s="136"/>
      <x:c r="U87" s="136"/>
      <x:c r="V87" s="136"/>
      <x:c r="W87" s="136"/>
      <x:c r="X87" s="136"/>
      <x:c r="Y87" s="136"/>
      <x:c r="Z87" s="136"/>
    </x:row>
    <x:row r="88">
      <x:c r="A88" s="136"/>
      <x:c r="B88" s="136"/>
      <x:c r="C88" s="136"/>
      <x:c r="D88" s="136"/>
      <x:c r="E88" s="136"/>
      <x:c r="F88" s="136"/>
      <x:c r="G88" s="136"/>
      <x:c r="H88" s="136"/>
      <x:c r="I88" s="136"/>
      <x:c r="J88" s="136"/>
      <x:c r="K88" s="136"/>
      <x:c r="L88" s="136"/>
      <x:c r="M88" s="136"/>
      <x:c r="N88" s="136"/>
      <x:c r="O88" s="136"/>
      <x:c r="P88" s="136"/>
      <x:c r="Q88" s="136"/>
      <x:c r="R88" s="136"/>
      <x:c r="S88" s="136"/>
      <x:c r="T88" s="136"/>
      <x:c r="U88" s="136"/>
      <x:c r="V88" s="136"/>
      <x:c r="W88" s="136"/>
      <x:c r="X88" s="136"/>
      <x:c r="Y88" s="136"/>
      <x:c r="Z88" s="136"/>
    </x:row>
    <x:row r="89">
      <x:c r="A89" s="136"/>
      <x:c r="B89" s="136"/>
      <x:c r="C89" s="136"/>
      <x:c r="D89" s="136"/>
      <x:c r="E89" s="136"/>
      <x:c r="F89" s="136"/>
      <x:c r="G89" s="136"/>
      <x:c r="H89" s="136"/>
      <x:c r="I89" s="136"/>
      <x:c r="J89" s="136"/>
      <x:c r="K89" s="136"/>
      <x:c r="L89" s="136"/>
      <x:c r="M89" s="136"/>
      <x:c r="N89" s="136"/>
      <x:c r="O89" s="136"/>
      <x:c r="P89" s="136"/>
      <x:c r="Q89" s="136"/>
      <x:c r="R89" s="136"/>
      <x:c r="S89" s="136"/>
      <x:c r="T89" s="136"/>
      <x:c r="U89" s="136"/>
      <x:c r="V89" s="136"/>
      <x:c r="W89" s="136"/>
      <x:c r="X89" s="136"/>
      <x:c r="Y89" s="136"/>
      <x:c r="Z89" s="136"/>
    </x:row>
    <x:row r="90">
      <x:c r="A90" s="136"/>
      <x:c r="B90" s="136"/>
      <x:c r="C90" s="136"/>
      <x:c r="D90" s="136"/>
      <x:c r="E90" s="136"/>
      <x:c r="F90" s="136"/>
      <x:c r="G90" s="136"/>
      <x:c r="H90" s="136"/>
      <x:c r="I90" s="136"/>
      <x:c r="J90" s="136"/>
      <x:c r="K90" s="136"/>
      <x:c r="L90" s="136"/>
      <x:c r="M90" s="136"/>
      <x:c r="N90" s="136"/>
      <x:c r="O90" s="136"/>
      <x:c r="P90" s="136"/>
      <x:c r="Q90" s="136"/>
      <x:c r="R90" s="136"/>
      <x:c r="S90" s="136"/>
      <x:c r="T90" s="136"/>
      <x:c r="U90" s="136"/>
      <x:c r="V90" s="136"/>
      <x:c r="W90" s="136"/>
      <x:c r="X90" s="136"/>
      <x:c r="Y90" s="136"/>
      <x:c r="Z90" s="136"/>
    </x:row>
    <x:row r="91">
      <x:c r="A91" s="136"/>
      <x:c r="B91" s="136"/>
      <x:c r="C91" s="136"/>
      <x:c r="D91" s="136"/>
      <x:c r="E91" s="136"/>
      <x:c r="F91" s="136"/>
      <x:c r="G91" s="136"/>
      <x:c r="H91" s="136"/>
      <x:c r="I91" s="136"/>
      <x:c r="J91" s="136"/>
      <x:c r="K91" s="136"/>
      <x:c r="L91" s="136"/>
      <x:c r="M91" s="136"/>
      <x:c r="N91" s="136"/>
      <x:c r="O91" s="136"/>
      <x:c r="P91" s="136"/>
      <x:c r="Q91" s="136"/>
      <x:c r="R91" s="136"/>
      <x:c r="S91" s="136"/>
      <x:c r="T91" s="136"/>
      <x:c r="U91" s="136"/>
      <x:c r="V91" s="136"/>
      <x:c r="W91" s="136"/>
      <x:c r="X91" s="136"/>
      <x:c r="Y91" s="136"/>
      <x:c r="Z91" s="136"/>
    </x:row>
    <x:row r="92">
      <x:c r="A92" s="136"/>
      <x:c r="B92" s="136"/>
      <x:c r="C92" s="136"/>
      <x:c r="D92" s="136"/>
      <x:c r="E92" s="136"/>
      <x:c r="F92" s="136"/>
      <x:c r="G92" s="136"/>
      <x:c r="H92" s="136"/>
      <x:c r="I92" s="136"/>
      <x:c r="J92" s="136"/>
      <x:c r="K92" s="136"/>
      <x:c r="L92" s="136"/>
      <x:c r="M92" s="136"/>
      <x:c r="N92" s="136"/>
      <x:c r="O92" s="136"/>
      <x:c r="P92" s="136"/>
      <x:c r="Q92" s="136"/>
      <x:c r="R92" s="136"/>
      <x:c r="S92" s="136"/>
      <x:c r="T92" s="136"/>
      <x:c r="U92" s="136"/>
      <x:c r="V92" s="136"/>
      <x:c r="W92" s="136"/>
      <x:c r="X92" s="136"/>
      <x:c r="Y92" s="136"/>
      <x:c r="Z92" s="136"/>
    </x:row>
    <x:row r="93">
      <x:c r="A93" s="136"/>
      <x:c r="B93" s="136"/>
      <x:c r="C93" s="136"/>
      <x:c r="D93" s="136"/>
      <x:c r="E93" s="136"/>
      <x:c r="F93" s="136"/>
      <x:c r="G93" s="136"/>
      <x:c r="H93" s="136"/>
      <x:c r="I93" s="136"/>
      <x:c r="J93" s="136"/>
      <x:c r="K93" s="136"/>
      <x:c r="L93" s="136"/>
      <x:c r="M93" s="136"/>
      <x:c r="N93" s="136"/>
      <x:c r="O93" s="136"/>
      <x:c r="P93" s="136"/>
      <x:c r="Q93" s="136"/>
      <x:c r="R93" s="136"/>
      <x:c r="S93" s="136"/>
      <x:c r="T93" s="136"/>
      <x:c r="U93" s="136"/>
      <x:c r="V93" s="136"/>
      <x:c r="W93" s="136"/>
      <x:c r="X93" s="136"/>
      <x:c r="Y93" s="136"/>
      <x:c r="Z93" s="136"/>
    </x:row>
    <x:row r="94">
      <x:c r="A94" s="136"/>
      <x:c r="B94" s="136"/>
      <x:c r="C94" s="136"/>
      <x:c r="D94" s="136"/>
      <x:c r="E94" s="136"/>
      <x:c r="F94" s="136"/>
      <x:c r="G94" s="136"/>
      <x:c r="H94" s="136"/>
      <x:c r="I94" s="136"/>
      <x:c r="J94" s="136"/>
      <x:c r="K94" s="136"/>
      <x:c r="L94" s="136"/>
      <x:c r="M94" s="136"/>
      <x:c r="N94" s="136"/>
      <x:c r="O94" s="136"/>
      <x:c r="P94" s="136"/>
      <x:c r="Q94" s="136"/>
      <x:c r="R94" s="136"/>
      <x:c r="S94" s="136"/>
      <x:c r="T94" s="136"/>
      <x:c r="U94" s="136"/>
      <x:c r="V94" s="136"/>
      <x:c r="W94" s="136"/>
      <x:c r="X94" s="136"/>
      <x:c r="Y94" s="136"/>
      <x:c r="Z94" s="136"/>
    </x:row>
    <x:row r="95">
      <x:c r="A95" s="136"/>
      <x:c r="B95" s="136"/>
      <x:c r="C95" s="136"/>
      <x:c r="D95" s="136"/>
      <x:c r="E95" s="136"/>
      <x:c r="F95" s="136"/>
      <x:c r="G95" s="136"/>
      <x:c r="H95" s="136"/>
      <x:c r="I95" s="136"/>
      <x:c r="J95" s="136"/>
      <x:c r="K95" s="136"/>
      <x:c r="L95" s="136"/>
      <x:c r="M95" s="136"/>
      <x:c r="N95" s="136"/>
      <x:c r="O95" s="136"/>
      <x:c r="P95" s="136"/>
      <x:c r="Q95" s="136"/>
      <x:c r="R95" s="136"/>
      <x:c r="S95" s="136"/>
      <x:c r="T95" s="136"/>
      <x:c r="U95" s="136"/>
      <x:c r="V95" s="136"/>
      <x:c r="W95" s="136"/>
      <x:c r="X95" s="136"/>
      <x:c r="Y95" s="136"/>
      <x:c r="Z95" s="136"/>
    </x:row>
    <x:row r="96">
      <x:c r="A96" s="136"/>
      <x:c r="B96" s="136"/>
      <x:c r="C96" s="136"/>
      <x:c r="D96" s="136"/>
      <x:c r="E96" s="136"/>
      <x:c r="F96" s="136"/>
      <x:c r="G96" s="136"/>
      <x:c r="H96" s="136"/>
      <x:c r="I96" s="136"/>
      <x:c r="J96" s="136"/>
      <x:c r="K96" s="136"/>
      <x:c r="L96" s="136"/>
      <x:c r="M96" s="136"/>
      <x:c r="N96" s="136"/>
      <x:c r="O96" s="136"/>
      <x:c r="P96" s="136"/>
      <x:c r="Q96" s="136"/>
      <x:c r="R96" s="136"/>
      <x:c r="S96" s="136"/>
      <x:c r="T96" s="136"/>
      <x:c r="U96" s="136"/>
      <x:c r="V96" s="136"/>
      <x:c r="W96" s="136"/>
      <x:c r="X96" s="136"/>
      <x:c r="Y96" s="136"/>
      <x:c r="Z96" s="136"/>
    </x:row>
    <x:row r="97">
      <x:c r="A97" s="136"/>
      <x:c r="B97" s="136"/>
      <x:c r="C97" s="136"/>
      <x:c r="D97" s="136"/>
      <x:c r="E97" s="136"/>
      <x:c r="F97" s="136"/>
      <x:c r="G97" s="136"/>
      <x:c r="H97" s="136"/>
      <x:c r="I97" s="136"/>
      <x:c r="J97" s="136"/>
      <x:c r="K97" s="136"/>
      <x:c r="L97" s="136"/>
      <x:c r="M97" s="136"/>
      <x:c r="N97" s="136"/>
      <x:c r="O97" s="136"/>
      <x:c r="P97" s="136"/>
      <x:c r="Q97" s="136"/>
      <x:c r="R97" s="136"/>
      <x:c r="S97" s="136"/>
      <x:c r="T97" s="136"/>
      <x:c r="U97" s="136"/>
      <x:c r="V97" s="136"/>
      <x:c r="W97" s="136"/>
      <x:c r="X97" s="136"/>
      <x:c r="Y97" s="136"/>
      <x:c r="Z97" s="136"/>
    </x:row>
    <x:row r="98">
      <x:c r="A98" s="136"/>
      <x:c r="B98" s="136"/>
      <x:c r="C98" s="136"/>
      <x:c r="D98" s="136"/>
      <x:c r="E98" s="136"/>
      <x:c r="F98" s="136"/>
      <x:c r="G98" s="136"/>
      <x:c r="H98" s="136"/>
      <x:c r="I98" s="136"/>
      <x:c r="J98" s="136"/>
      <x:c r="K98" s="136"/>
      <x:c r="L98" s="136"/>
      <x:c r="M98" s="136"/>
      <x:c r="N98" s="136"/>
      <x:c r="O98" s="136"/>
      <x:c r="P98" s="136"/>
      <x:c r="Q98" s="136"/>
      <x:c r="R98" s="136"/>
      <x:c r="S98" s="136"/>
      <x:c r="T98" s="136"/>
      <x:c r="U98" s="136"/>
      <x:c r="V98" s="136"/>
      <x:c r="W98" s="136"/>
      <x:c r="X98" s="136"/>
      <x:c r="Y98" s="136"/>
      <x:c r="Z98" s="136"/>
    </x:row>
    <x:row r="99">
      <x:c r="A99" s="136"/>
      <x:c r="B99" s="136"/>
      <x:c r="C99" s="136"/>
      <x:c r="D99" s="136"/>
      <x:c r="E99" s="136"/>
      <x:c r="F99" s="136"/>
      <x:c r="G99" s="136"/>
      <x:c r="H99" s="136"/>
      <x:c r="I99" s="136"/>
      <x:c r="J99" s="136"/>
      <x:c r="K99" s="136"/>
      <x:c r="L99" s="136"/>
      <x:c r="M99" s="136"/>
      <x:c r="N99" s="136"/>
      <x:c r="O99" s="136"/>
      <x:c r="P99" s="136"/>
      <x:c r="Q99" s="136"/>
      <x:c r="R99" s="136"/>
      <x:c r="S99" s="136"/>
      <x:c r="T99" s="136"/>
      <x:c r="U99" s="136"/>
      <x:c r="V99" s="136"/>
      <x:c r="W99" s="136"/>
      <x:c r="X99" s="136"/>
      <x:c r="Y99" s="136"/>
      <x:c r="Z99" s="136"/>
    </x:row>
    <x:row r="100">
      <x:c r="A100" s="136"/>
      <x:c r="B100" s="136"/>
      <x:c r="C100" s="136"/>
      <x:c r="D100" s="136"/>
      <x:c r="E100" s="136"/>
      <x:c r="F100" s="136"/>
      <x:c r="G100" s="136"/>
      <x:c r="H100" s="136"/>
      <x:c r="I100" s="136"/>
      <x:c r="J100" s="136"/>
      <x:c r="K100" s="136"/>
      <x:c r="L100" s="136"/>
      <x:c r="M100" s="136"/>
      <x:c r="N100" s="136"/>
      <x:c r="O100" s="136"/>
      <x:c r="P100" s="136"/>
      <x:c r="Q100" s="136"/>
      <x:c r="R100" s="136"/>
      <x:c r="S100" s="136"/>
      <x:c r="T100" s="136"/>
      <x:c r="U100" s="136"/>
      <x:c r="V100" s="136"/>
      <x:c r="W100" s="136"/>
      <x:c r="X100" s="136"/>
      <x:c r="Y100" s="136"/>
      <x:c r="Z100" s="136"/>
    </x:row>
  </x:sheetData>
  <x:mergeCells>
    <x:mergeCell ref="A1:J1"/>
    <x:mergeCell ref="A2:J2"/>
    <x:mergeCell ref="A4:J4"/>
    <x:mergeCell ref="A12:J12"/>
    <x:mergeCell ref="A18:J18"/>
    <x:mergeCell ref="A24:J24"/>
    <x:mergeCell ref="A33:J33"/>
    <x:mergeCell ref="A34:J38"/>
  </x:mergeCells>
  <x:conditionalFormatting sqref="D6:F6">
    <x:cfRule type="expression" dxfId="5" priority="1">
      <x:formula>$E6="YES"</x:formula>
    </x:cfRule>
  </x:conditionalFormatting>
  <x:pageMargins left="0.7" right="0.7" top="0.75" bottom="0.75" header="0.3" footer="0.3"/>
  <x:drawing xmlns:r="http://schemas.openxmlformats.org/officeDocument/2006/relationships" r:id="Rfc40d789c11c47cd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18" hidden="0" customWidth="1"/>
    <x:col min="4" max="4" width="19" hidden="0" customWidth="1"/>
    <x:col min="5" max="5" width="12" hidden="0" customWidth="1"/>
    <x:col min="6" max="6" width="14" hidden="0" customWidth="1"/>
    <x:col min="7" max="7" width="14" hidden="0" customWidth="1"/>
    <x:col min="8" max="8" width="19" hidden="0" customWidth="1"/>
    <x:col min="9" max="9" width="16" hidden="0" customWidth="1"/>
    <x:col min="10" max="10" width="15" hidden="0" customWidth="1"/>
    <x:col min="11" max="11" width="18" hidden="0" customWidth="1"/>
    <x:col min="12" max="12" width="18" hidden="0" customWidth="1"/>
    <x:col min="13" max="13" width="15" hidden="0" customWidth="1"/>
    <x:col min="14" max="14" width="40" hidden="0" customWidth="1"/>
    <x:col min="15" max="15" width="14" hidden="0" customWidth="1"/>
    <x:col min="16" max="16" width="42" hidden="0" customWidth="1"/>
  </x:cols>
  <x:sheetData>
    <x:row r="1" ht="26" customHeight="1">
      <x:c r="A1" s="4" t="str">
        <x:v>Braskem Naphtha Arrivals — Verified / Near-Forward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112"/>
      <x:c r="R1" s="112"/>
      <x:c r="S1" s="112"/>
      <x:c r="T1" s="112"/>
      <x:c r="U1" s="112"/>
      <x:c r="V1" s="112"/>
      <x:c r="W1" s="112"/>
      <x:c r="X1" s="112"/>
      <x:c r="Y1" s="112"/>
      <x:c r="Z1" s="112"/>
    </x:row>
    <x:row r="2">
      <x:c r="A2" s="12" t="str">
        <x:v>ETB / Arrival Date</x:v>
      </x:c>
      <x:c r="B2" s="12" t="str">
        <x:v>Vessel</x:v>
      </x:c>
      <x:c r="C2" s="12" t="str">
        <x:v>Port / Terminal</x:v>
      </x:c>
      <x:c r="D2" s="12" t="str">
        <x:v>Status</x:v>
      </x:c>
      <x:c r="E2" s="12" t="str">
        <x:v>Cargo</x:v>
      </x:c>
      <x:c r="F2" s="12" t="str">
        <x:v>Quantity (kg)</x:v>
      </x:c>
      <x:c r="G2" s="12" t="str">
        <x:v>Quantity (kt)</x:v>
      </x:c>
      <x:c r="H2" s="12" t="str">
        <x:v>Operator</x:v>
      </x:c>
      <x:c r="I2" s="12" t="str">
        <x:v>Braskem Confirmed?</x:v>
      </x:c>
      <x:c r="J2" s="12" t="str">
        <x:v>Fleet Type</x:v>
      </x:c>
      <x:c r="K2" s="12" t="str">
        <x:v>ETA</x:v>
      </x:c>
      <x:c r="L2" s="12" t="str">
        <x:v>ETD</x:v>
      </x:c>
      <x:c r="M2" s="12" t="str">
        <x:v>Evidence Tier</x:v>
      </x:c>
      <x:c r="N2" s="12" t="str">
        <x:v>Source URL</x:v>
      </x:c>
      <x:c r="O2" s="12" t="str">
        <x:v>Source As-of</x:v>
      </x:c>
      <x:c r="P2" s="12" t="str">
        <x:v>Notes</x:v>
      </x:c>
      <x:c r="Q2" s="136"/>
      <x:c r="R2" s="136"/>
      <x:c r="S2" s="136"/>
      <x:c r="T2" s="136"/>
      <x:c r="U2" s="136"/>
      <x:c r="V2" s="136"/>
      <x:c r="W2" s="136"/>
      <x:c r="X2" s="136"/>
      <x:c r="Y2" s="136"/>
      <x:c r="Z2" s="136"/>
    </x:row>
    <x:row r="3">
      <x:c r="A3" s="122" t="n">
        <x:v>46239</x:v>
      </x:c>
      <x:c r="B3" s="116" t="str">
        <x:v>BARRACUDA</x:v>
      </x:c>
      <x:c r="C3" s="116" t="str">
        <x:v>Aratu / TPG</x:v>
      </x:c>
      <x:c r="D3" s="116" t="str">
        <x:v>Completed</x:v>
      </x:c>
      <x:c r="E3" s="116" t="str">
        <x:v>Naphtha</x:v>
      </x:c>
      <x:c r="F3" s="168" t="n">
        <x:v>56789231</x:v>
      </x:c>
      <x:c r="G3" s="169" t="n">
        <x:f>F3/1000000</x:f>
        <x:v>56.789231</x:v>
      </x:c>
      <x:c r="H3" s="116" t="str">
        <x:v>BRASKEM S.A.</x:v>
      </x:c>
      <x:c r="I3" s="116" t="str">
        <x:v>Yes</x:v>
      </x:c>
      <x:c r="J3" s="116" t="str">
        <x:v>Third-party</x:v>
      </x:c>
      <x:c r="K3" s="170"/>
      <x:c r="L3" s="170" t="n">
        <x:v>46241</x:v>
      </x:c>
      <x:c r="M3" s="116" t="str">
        <x:v>Tier 1</x:v>
      </x:c>
      <x:c r="N3" s="171" t="str">
        <x:v>https://codeba.gov.br/eficiente/sites/portalcodeba/pt-br/porto_aratu.php?secao=tportos_aratu</x:v>
      </x:c>
      <x:c r="O3" s="122" t="n">
        <x:v>46259</x:v>
      </x:c>
      <x:c r="P3" s="116" t="str">
        <x:v>CODEBA historical search snapshot; completed discharge.</x:v>
      </x:c>
      <x:c r="Q3" s="136"/>
      <x:c r="R3" s="136"/>
      <x:c r="S3" s="136"/>
      <x:c r="T3" s="136"/>
      <x:c r="U3" s="136"/>
      <x:c r="V3" s="136"/>
      <x:c r="W3" s="136"/>
      <x:c r="X3" s="136"/>
      <x:c r="Y3" s="136"/>
      <x:c r="Z3" s="136"/>
    </x:row>
    <x:row r="4">
      <x:c r="A4" s="122" t="n">
        <x:v>46245</x:v>
      </x:c>
      <x:c r="B4" s="116" t="str">
        <x:v>BEAUTIFUL FUTURE</x:v>
      </x:c>
      <x:c r="C4" s="116" t="str">
        <x:v>Aratu / TPG</x:v>
      </x:c>
      <x:c r="D4" s="116" t="str">
        <x:v>Completed</x:v>
      </x:c>
      <x:c r="E4" s="116" t="str">
        <x:v>Naphtha</x:v>
      </x:c>
      <x:c r="F4" s="168" t="n">
        <x:v>55245144</x:v>
      </x:c>
      <x:c r="G4" s="169" t="n">
        <x:f>F4/1000000</x:f>
        <x:v>55.245144</x:v>
      </x:c>
      <x:c r="H4" s="116" t="str">
        <x:v>BRASKEM S.A.</x:v>
      </x:c>
      <x:c r="I4" s="116" t="str">
        <x:v>Yes</x:v>
      </x:c>
      <x:c r="J4" s="116" t="str">
        <x:v>Future LR1</x:v>
      </x:c>
      <x:c r="K4" s="170"/>
      <x:c r="L4" s="170" t="n">
        <x:v>46247</x:v>
      </x:c>
      <x:c r="M4" s="116" t="str">
        <x:v>Tier 1</x:v>
      </x:c>
      <x:c r="N4" s="171" t="str">
        <x:v>https://codeba.gov.br/eficiente/sites/portalcodeba/pt-br/porto_aratu.php?secao=tportos_aratu</x:v>
      </x:c>
      <x:c r="O4" s="122" t="n">
        <x:v>46259</x:v>
      </x:c>
      <x:c r="P4" s="116" t="str">
        <x:v>First verified Brazilian discharge by dedicated Future fleet.</x:v>
      </x:c>
      <x:c r="Q4" s="136"/>
      <x:c r="R4" s="136"/>
      <x:c r="S4" s="136"/>
      <x:c r="T4" s="136"/>
      <x:c r="U4" s="136"/>
      <x:c r="V4" s="136"/>
      <x:c r="W4" s="136"/>
      <x:c r="X4" s="136"/>
      <x:c r="Y4" s="136"/>
      <x:c r="Z4" s="136"/>
    </x:row>
    <x:row r="5">
      <x:c r="A5" s="122" t="n">
        <x:v>46250</x:v>
      </x:c>
      <x:c r="B5" s="116" t="str">
        <x:v>PACIFIC JASPER</x:v>
      </x:c>
      <x:c r="C5" s="116" t="str">
        <x:v>Aratu / TPG</x:v>
      </x:c>
      <x:c r="D5" s="116" t="str">
        <x:v>Completed</x:v>
      </x:c>
      <x:c r="E5" s="116" t="str">
        <x:v>Naphtha</x:v>
      </x:c>
      <x:c r="F5" s="168" t="n">
        <x:v>36000000</x:v>
      </x:c>
      <x:c r="G5" s="169" t="n">
        <x:f>F5/1000000</x:f>
        <x:v>36</x:v>
      </x:c>
      <x:c r="H5" s="116" t="str">
        <x:v>BRASKEM S.A.</x:v>
      </x:c>
      <x:c r="I5" s="116" t="str">
        <x:v>Yes</x:v>
      </x:c>
      <x:c r="J5" s="116" t="str">
        <x:v>Third-party</x:v>
      </x:c>
      <x:c r="K5" s="170"/>
      <x:c r="L5" s="170" t="n">
        <x:v>46251</x:v>
      </x:c>
      <x:c r="M5" s="116" t="str">
        <x:v>Tier 1</x:v>
      </x:c>
      <x:c r="N5" s="171" t="str">
        <x:v>https://codeba.gov.br/eficiente/sites/portalcodeba/pt-br/porto_aratu.php?secao=tportos_aratu</x:v>
      </x:c>
      <x:c r="O5" s="122" t="n">
        <x:v>46259</x:v>
      </x:c>
      <x:c r="P5" s="116" t="str">
        <x:v>Third-party tanker discharge after Beautiful Future.</x:v>
      </x:c>
      <x:c r="Q5" s="136"/>
      <x:c r="R5" s="136"/>
      <x:c r="S5" s="136"/>
      <x:c r="T5" s="136"/>
      <x:c r="U5" s="136"/>
      <x:c r="V5" s="136"/>
      <x:c r="W5" s="136"/>
      <x:c r="X5" s="136"/>
      <x:c r="Y5" s="136"/>
      <x:c r="Z5" s="136"/>
    </x:row>
    <x:row r="6">
      <x:c r="A6" s="122" t="n">
        <x:v>46257</x:v>
      </x:c>
      <x:c r="B6" s="116" t="str">
        <x:v>BAIACU</x:v>
      </x:c>
      <x:c r="C6" s="116" t="str">
        <x:v>Aratu / TPG</x:v>
      </x:c>
      <x:c r="D6" s="116" t="str">
        <x:v>Completed</x:v>
      </x:c>
      <x:c r="E6" s="116" t="str">
        <x:v>Naphtha</x:v>
      </x:c>
      <x:c r="F6" s="168" t="n">
        <x:v>56020878</x:v>
      </x:c>
      <x:c r="G6" s="169" t="n">
        <x:f>F6/1000000</x:f>
        <x:v>56.020878</x:v>
      </x:c>
      <x:c r="H6" s="116" t="str">
        <x:v>BRASKEM S.A.</x:v>
      </x:c>
      <x:c r="I6" s="116" t="str">
        <x:v>Yes</x:v>
      </x:c>
      <x:c r="J6" s="116" t="str">
        <x:v>Third-party</x:v>
      </x:c>
      <x:c r="K6" s="170"/>
      <x:c r="L6" s="170" t="n">
        <x:v>46259</x:v>
      </x:c>
      <x:c r="M6" s="116" t="str">
        <x:v>Tier 1</x:v>
      </x:c>
      <x:c r="N6" s="171" t="str">
        <x:v>https://codeba.gov.br/eficiente/sites/portalcodeba/pt-br/porto_aratu.php?secao=tportos_aratu</x:v>
      </x:c>
      <x:c r="O6" s="122" t="n">
        <x:v>46259</x:v>
      </x:c>
      <x:c r="P6" s="116" t="str">
        <x:v>Third-party tanker discharge after Beautiful Future.</x:v>
      </x:c>
      <x:c r="Q6" s="136"/>
      <x:c r="R6" s="136"/>
      <x:c r="S6" s="136"/>
      <x:c r="T6" s="136"/>
      <x:c r="U6" s="136"/>
      <x:c r="V6" s="136"/>
      <x:c r="W6" s="136"/>
      <x:c r="X6" s="136"/>
      <x:c r="Y6" s="136"/>
      <x:c r="Z6" s="136"/>
    </x:row>
    <x:row r="7">
      <x:c r="A7" s="122" t="n">
        <x:v>46270</x:v>
      </x:c>
      <x:c r="B7" s="116" t="str">
        <x:v>PINE OLIA</x:v>
      </x:c>
      <x:c r="C7" s="116" t="str">
        <x:v>Aratu / TPG</x:v>
      </x:c>
      <x:c r="D7" s="116" t="str">
        <x:v>Historical schedule / unresolved</x:v>
      </x:c>
      <x:c r="E7" s="116" t="str">
        <x:v>Naphtha</x:v>
      </x:c>
      <x:c r="F7" s="168" t="n">
        <x:v>27000000</x:v>
      </x:c>
      <x:c r="G7" s="169" t="n">
        <x:f>F7/1000000</x:f>
        <x:v>27</x:v>
      </x:c>
      <x:c r="H7" s="116" t="str">
        <x:v>BRASKEM S.A.</x:v>
      </x:c>
      <x:c r="I7" s="116" t="str">
        <x:v>Yes</x:v>
      </x:c>
      <x:c r="J7" s="116" t="str">
        <x:v>Third-party</x:v>
      </x:c>
      <x:c r="K7" s="170" t="n">
        <x:v>46266.5</x:v>
      </x:c>
      <x:c r="L7" s="170" t="n">
        <x:v>46271</x:v>
      </x:c>
      <x:c r="M7" s="116" t="str">
        <x:v>Prior schedule; completion unverified</x:v>
      </x:c>
      <x:c r="N7" s="171" t="str">
        <x:v>https://codeba.gov.br/eficiente/sites/portalcodeba/pt-br/porto_aratu.php?secao=tportos_aratu</x:v>
      </x:c>
      <x:c r="O7" s="122" t="n">
        <x:v>46267</x:v>
      </x:c>
      <x:c r="P7" s="116" t="str">
        <x:v>Updated Sep-2 CODEBA schedule: Braskem now confirmed as operator; ETB Sep-5. Checked Sep-28: no longer on current schedule; disappearance does not confirm discharge.</x:v>
      </x:c>
      <x:c r="Q7" s="136"/>
      <x:c r="R7" s="136"/>
      <x:c r="S7" s="136"/>
      <x:c r="T7" s="136"/>
      <x:c r="U7" s="136"/>
      <x:c r="V7" s="136"/>
      <x:c r="W7" s="136"/>
      <x:c r="X7" s="136"/>
      <x:c r="Y7" s="136"/>
      <x:c r="Z7" s="136"/>
    </x:row>
    <x:row r="8">
      <x:c r="A8" s="122" t="n">
        <x:v>46265</x:v>
      </x:c>
      <x:c r="B8" s="116" t="str">
        <x:v>TORM AUSTRALIA</x:v>
      </x:c>
      <x:c r="C8" s="116" t="str">
        <x:v>Aratu / TPG</x:v>
      </x:c>
      <x:c r="D8" s="116" t="str">
        <x:v>Historical schedule / unresolved</x:v>
      </x:c>
      <x:c r="E8" s="116" t="str">
        <x:v>Naphtha</x:v>
      </x:c>
      <x:c r="F8" s="168" t="n">
        <x:v>36369299</x:v>
      </x:c>
      <x:c r="G8" s="169" t="n">
        <x:f>F8/1000000</x:f>
        <x:v>36.369299</x:v>
      </x:c>
      <x:c r="H8" s="116" t="str">
        <x:v>BRASKEM S.A.</x:v>
      </x:c>
      <x:c r="I8" s="116" t="str">
        <x:v>Yes</x:v>
      </x:c>
      <x:c r="J8" s="116" t="str">
        <x:v>Third-party</x:v>
      </x:c>
      <x:c r="K8" s="170" t="n">
        <x:v>46258.433333333334</x:v>
      </x:c>
      <x:c r="L8" s="170" t="n">
        <x:v>46267</x:v>
      </x:c>
      <x:c r="M8" s="116" t="str">
        <x:v>Prior schedule; completion unverified</x:v>
      </x:c>
      <x:c r="N8" s="171" t="str">
        <x:v>https://codeba.gov.br/eficiente/sites/portalcodeba/pt-br/porto_aratu.php?secao=tportos_aratu</x:v>
      </x:c>
      <x:c r="O8" s="122" t="n">
        <x:v>46267</x:v>
      </x:c>
      <x:c r="P8" s="116" t="str">
        <x:v>CODEBA shows vessel berthed Aug-31 and discharging 36.369kt for Braskem; ETD Sep-2. Checked Sep-28: no longer on current schedule; disappearance does not confirm discharge.</x:v>
      </x:c>
      <x:c r="Q8" s="136"/>
      <x:c r="R8" s="136"/>
      <x:c r="S8" s="136"/>
      <x:c r="T8" s="136"/>
      <x:c r="U8" s="136"/>
      <x:c r="V8" s="136"/>
      <x:c r="W8" s="136"/>
      <x:c r="X8" s="136"/>
      <x:c r="Y8" s="136"/>
      <x:c r="Z8" s="136"/>
    </x:row>
    <x:row r="9">
      <x:c r="A9" s="122" t="n">
        <x:v>46269</x:v>
      </x:c>
      <x:c r="B9" s="116" t="str">
        <x:v>BRIGHT FUTURE</x:v>
      </x:c>
      <x:c r="C9" s="116" t="str">
        <x:v>Aratu / TPG</x:v>
      </x:c>
      <x:c r="D9" s="116" t="str">
        <x:v>Historical schedule / unresolved</x:v>
      </x:c>
      <x:c r="E9" s="116" t="str">
        <x:v>Naphtha</x:v>
      </x:c>
      <x:c r="F9" s="168" t="n">
        <x:v>28000000</x:v>
      </x:c>
      <x:c r="G9" s="169" t="n">
        <x:f>F9/1000000</x:f>
        <x:v>28</x:v>
      </x:c>
      <x:c r="H9" s="116" t="str">
        <x:v>BRASKEM S.A.</x:v>
      </x:c>
      <x:c r="I9" s="116" t="str">
        <x:v>Yes</x:v>
      </x:c>
      <x:c r="J9" s="116" t="str">
        <x:v>Third-party</x:v>
      </x:c>
      <x:c r="K9" s="170" t="n">
        <x:v>46267.625</x:v>
      </x:c>
      <x:c r="L9" s="170" t="n">
        <x:v>46270</x:v>
      </x:c>
      <x:c r="M9" s="116" t="str">
        <x:v>Prior schedule; completion unverified</x:v>
      </x:c>
      <x:c r="N9" s="171" t="str">
        <x:v>https://codeba.gov.br/eficiente/sites/portalcodeba/pt-br/porto_aratu.php?secao=tportos_aratu</x:v>
      </x:c>
      <x:c r="O9" s="122" t="n">
        <x:v>46267</x:v>
      </x:c>
      <x:c r="P9" s="116" t="str">
        <x:v>New Sep-2 forward call. This is not one of Braskem's four Beautiful/Blooming/Blissful/Bold Future LR1s. Checked Sep-28: no longer on current schedule; disappearance does not confirm discharge.</x:v>
      </x:c>
      <x:c r="Q9" s="136"/>
      <x:c r="R9" s="136"/>
      <x:c r="S9" s="136"/>
      <x:c r="T9" s="136"/>
      <x:c r="U9" s="136"/>
      <x:c r="V9" s="136"/>
      <x:c r="W9" s="136"/>
      <x:c r="X9" s="136"/>
      <x:c r="Y9" s="136"/>
      <x:c r="Z9" s="136"/>
    </x:row>
    <x:row r="10">
      <x:c r="A10" s="122" t="n">
        <x:v>46274</x:v>
      </x:c>
      <x:c r="B10" s="116" t="str">
        <x:v>TWEED</x:v>
      </x:c>
      <x:c r="C10" s="116" t="str">
        <x:v>Aratu / TPG</x:v>
      </x:c>
      <x:c r="D10" s="116" t="str">
        <x:v>Historical schedule / unresolved</x:v>
      </x:c>
      <x:c r="E10" s="116" t="str">
        <x:v>Naphtha</x:v>
      </x:c>
      <x:c r="F10" s="168"/>
      <x:c r="G10" s="169" t="str">
        <x:f>IF(F10="","",F10/1000000)</x:f>
      </x:c>
      <x:c r="H10" s="116" t="str">
        <x:v>BRASKEM S.A.</x:v>
      </x:c>
      <x:c r="I10" s="116" t="str">
        <x:v>Yes</x:v>
      </x:c>
      <x:c r="J10" s="116" t="str">
        <x:v>Third-party</x:v>
      </x:c>
      <x:c r="K10" s="170" t="n">
        <x:v>46271.5</x:v>
      </x:c>
      <x:c r="L10" s="170" t="n">
        <x:v>46275</x:v>
      </x:c>
      <x:c r="M10" s="116" t="str">
        <x:v>Prior schedule; completion unverified</x:v>
      </x:c>
      <x:c r="N10" s="171" t="str">
        <x:v>https://codeba.gov.br/eficiente/sites/portalcodeba/pt-br/porto_aratu.php?secao=tportos_aratu</x:v>
      </x:c>
      <x:c r="O10" s="122" t="n">
        <x:v>46267</x:v>
      </x:c>
      <x:c r="P10" s="116" t="str">
        <x:v>New forward naphtha call for Braskem. CODEBA currently reports cargo quantity as 0/TBD; excluded from tonnage totals. Checked Sep-28: no longer on current schedule; disappearance does not confirm discharge.</x:v>
      </x:c>
      <x:c r="Q10" s="136"/>
      <x:c r="R10" s="136"/>
      <x:c r="S10" s="136"/>
      <x:c r="T10" s="136"/>
      <x:c r="U10" s="136"/>
      <x:c r="V10" s="136"/>
      <x:c r="W10" s="136"/>
      <x:c r="X10" s="136"/>
      <x:c r="Y10" s="136"/>
      <x:c r="Z10" s="136"/>
    </x:row>
    <x:row r="11" ht="34" customHeight="1">
      <x:c r="A11" s="140" t="n">
        <x:v>46291</x:v>
      </x:c>
      <x:c r="B11" s="141" t="str">
        <x:v>BEAUTIFUL FUTURE</x:v>
      </x:c>
      <x:c r="C11" s="141" t="str">
        <x:v>Aratu / TPG</x:v>
      </x:c>
      <x:c r="D11" s="116" t="str">
        <x:v>Historical schedule / unresolved</x:v>
      </x:c>
      <x:c r="E11" s="141" t="str">
        <x:v>Naphtha</x:v>
      </x:c>
      <x:c r="F11" s="162" t="n">
        <x:v>56617101</x:v>
      </x:c>
      <x:c r="G11" s="152" t="n">
        <x:f>IF(F11="","",F11/1000000)</x:f>
        <x:v>56.617101</x:v>
      </x:c>
      <x:c r="H11" s="141" t="str">
        <x:v>BRASKEM S.A.</x:v>
      </x:c>
      <x:c r="I11" s="141" t="str">
        <x:v>Yes</x:v>
      </x:c>
      <x:c r="J11" s="141" t="str">
        <x:v>Future LR1</x:v>
      </x:c>
      <x:c r="K11" s="140" t="n">
        <x:v>46289.5</x:v>
      </x:c>
      <x:c r="L11" s="140" t="n">
        <x:v>46296</x:v>
      </x:c>
      <x:c r="M11" s="141" t="str">
        <x:v>Prior schedule; completion unverified</x:v>
      </x:c>
      <x:c r="N11" s="141" t="str">
        <x:v>https://codeba.gov.br/eficiente/sites/portalcodeba/pt-br/porto_aratu.php?secao=tportos_aratu</x:v>
      </x:c>
      <x:c r="O11" s="140" t="n">
        <x:v>46296</x:v>
      </x:c>
      <x:c r="P11" s="141" t="str">
        <x:v>24340 / DUV 440892026. CODEBA fetched Oct-1. Planned cargo; completed discharge not verified. Checked Oct-7: absent from current schedule; completion unverified. Excluded from current queue.</x:v>
      </x:c>
      <x:c r="Q11" s="136"/>
      <x:c r="R11" s="136"/>
      <x:c r="S11" s="136"/>
      <x:c r="T11" s="136"/>
      <x:c r="U11" s="136"/>
      <x:c r="V11" s="136"/>
      <x:c r="W11" s="136"/>
      <x:c r="X11" s="136"/>
      <x:c r="Y11" s="136"/>
      <x:c r="Z11" s="136"/>
    </x:row>
    <x:row r="12" ht="34" customHeight="1">
      <x:c r="A12" s="140" t="n">
        <x:v>46308</x:v>
      </x:c>
      <x:c r="B12" s="141" t="str">
        <x:v>BLOOMING FUTURE</x:v>
      </x:c>
      <x:c r="C12" s="141" t="str">
        <x:v>Aratu / TPG</x:v>
      </x:c>
      <x:c r="D12" s="116" t="str">
        <x:v>Anchored / Awaiting berth</x:v>
      </x:c>
      <x:c r="E12" s="141" t="str">
        <x:v>Naphtha</x:v>
      </x:c>
      <x:c r="F12" s="162" t="n">
        <x:v>28000000</x:v>
      </x:c>
      <x:c r="G12" s="152" t="n">
        <x:f>IF(F12="","",F12/1000000)</x:f>
        <x:v>28</x:v>
      </x:c>
      <x:c r="H12" s="141" t="str">
        <x:v>BRASKEM S.A.</x:v>
      </x:c>
      <x:c r="I12" s="141" t="str">
        <x:v>Yes</x:v>
      </x:c>
      <x:c r="J12" s="141" t="str">
        <x:v>Future LR1</x:v>
      </x:c>
      <x:c r="K12" s="140" t="n">
        <x:v>46297.375</x:v>
      </x:c>
      <x:c r="L12" s="140" t="n">
        <x:v>46309</x:v>
      </x:c>
      <x:c r="M12" s="141" t="str">
        <x:v>Tier 1 live</x:v>
      </x:c>
      <x:c r="N12" s="141" t="str">
        <x:v>https://codeba.gov.br/eficiente/sites/portalcodeba/pt-br/porto_aratu.php?secao=tportos_aratu</x:v>
      </x:c>
      <x:c r="O12" s="140" t="n">
        <x:v>46307</x:v>
      </x:c>
      <x:c r="P12" s="141" t="str">
        <x:v>CODEBA Oct-12. Program 24368; DUV 462002026. Planned cargo, completion unverified.</x:v>
      </x:c>
      <x:c r="Q12" s="136"/>
      <x:c r="R12" s="136"/>
      <x:c r="S12" s="136"/>
      <x:c r="T12" s="136"/>
      <x:c r="U12" s="136"/>
      <x:c r="V12" s="136"/>
      <x:c r="W12" s="136"/>
      <x:c r="X12" s="136"/>
      <x:c r="Y12" s="136"/>
      <x:c r="Z12" s="136"/>
    </x:row>
    <x:row r="13" ht="34" customHeight="1">
      <x:c r="A13" s="140" t="n">
        <x:v>46305</x:v>
      </x:c>
      <x:c r="B13" s="141" t="str">
        <x:v>CEDAR EXPRESS</x:v>
      </x:c>
      <x:c r="C13" s="141" t="str">
        <x:v>Aratu / TPG</x:v>
      </x:c>
      <x:c r="D13" s="116" t="str">
        <x:v>Historical schedule / unresolved</x:v>
      </x:c>
      <x:c r="E13" s="141" t="str">
        <x:v>Naphtha</x:v>
      </x:c>
      <x:c r="F13" s="162" t="n">
        <x:v>34097355</x:v>
      </x:c>
      <x:c r="G13" s="152" t="n">
        <x:f>IF(F13="","",F13/1000000)</x:f>
        <x:v>34.097355</x:v>
      </x:c>
      <x:c r="H13" s="141" t="str">
        <x:v>BRASKEM S.A.</x:v>
      </x:c>
      <x:c r="I13" s="141" t="str">
        <x:v>Yes</x:v>
      </x:c>
      <x:c r="J13" s="141" t="str">
        <x:v>Third-party</x:v>
      </x:c>
      <x:c r="K13" s="140" t="n">
        <x:v>46295.958333333336</x:v>
      </x:c>
      <x:c r="L13" s="140" t="n">
        <x:v>46306</x:v>
      </x:c>
      <x:c r="M13" s="141" t="str">
        <x:v>Prior schedule; completion unverified</x:v>
      </x:c>
      <x:c r="N13" s="141" t="str">
        <x:v>https://codeba.gov.br/eficiente/sites/portalcodeba/pt-br/porto_aratu.php?secao=tportos_aratu</x:v>
      </x:c>
      <x:c r="O13" s="140" t="n">
        <x:v>46302</x:v>
      </x:c>
      <x:c r="P13" s="141" t="str">
        <x:v>CODEBA fetched Oct-7. Program 24342, DUV 460452026. Planned cargo; completed discharge not verified. Checked Oct-12: absent from current schedule; completion unverified. Excluded from current queue.</x:v>
      </x:c>
      <x:c r="Q13" s="136"/>
      <x:c r="R13" s="136"/>
      <x:c r="S13" s="136"/>
      <x:c r="T13" s="136"/>
      <x:c r="U13" s="136"/>
      <x:c r="V13" s="136"/>
      <x:c r="W13" s="136"/>
      <x:c r="X13" s="136"/>
      <x:c r="Y13" s="136"/>
      <x:c r="Z13" s="136"/>
    </x:row>
    <x:row r="14" ht="34" customHeight="1">
      <x:c r="A14" s="140" t="n">
        <x:v>46310</x:v>
      </x:c>
      <x:c r="B14" s="141" t="str">
        <x:v>PINE OLIA</x:v>
      </x:c>
      <x:c r="C14" s="141" t="str">
        <x:v>Aratu / TPG</x:v>
      </x:c>
      <x:c r="D14" s="116" t="str">
        <x:v>Anchored / Awaiting berth</x:v>
      </x:c>
      <x:c r="E14" s="141" t="str">
        <x:v>Naphtha</x:v>
      </x:c>
      <x:c r="F14" s="162" t="n">
        <x:v>7700000</x:v>
      </x:c>
      <x:c r="G14" s="152" t="n">
        <x:f>IF(F14="","",F14/1000000)</x:f>
        <x:v>7.7</x:v>
      </x:c>
      <x:c r="H14" s="141" t="str">
        <x:v>BRASKEM S.A.</x:v>
      </x:c>
      <x:c r="I14" s="141" t="str">
        <x:v>Yes</x:v>
      </x:c>
      <x:c r="J14" s="141" t="str">
        <x:v>Third-party</x:v>
      </x:c>
      <x:c r="K14" s="140" t="n">
        <x:v>46295.375</x:v>
      </x:c>
      <x:c r="L14" s="140" t="n">
        <x:v>46310</x:v>
      </x:c>
      <x:c r="M14" s="141" t="str">
        <x:v>Tier 1 live</x:v>
      </x:c>
      <x:c r="N14" s="141" t="str">
        <x:v>https://codeba.gov.br/eficiente/sites/portalcodeba/pt-br/porto_aratu.php?secao=tportos_aratu</x:v>
      </x:c>
      <x:c r="O14" s="140" t="n">
        <x:v>46307</x:v>
      </x:c>
      <x:c r="P14" s="141" t="str">
        <x:v>CODEBA Oct-12. Program 24374; DUV 443822026. Planned cargo, completion unverified. Reappeared with same DUV; planned cargo revised from 27.6kt to 7.7kt. This does not establish partial discharge.</x:v>
      </x:c>
      <x:c r="Q14" s="136"/>
      <x:c r="R14" s="136"/>
      <x:c r="S14" s="136"/>
      <x:c r="T14" s="136"/>
      <x:c r="U14" s="136"/>
      <x:c r="V14" s="136"/>
      <x:c r="W14" s="136"/>
      <x:c r="X14" s="136"/>
      <x:c r="Y14" s="136"/>
      <x:c r="Z14" s="136"/>
    </x:row>
    <x:row r="15" ht="34" customHeight="1">
      <x:c r="A15" s="140" t="n">
        <x:v>46312</x:v>
      </x:c>
      <x:c r="B15" s="141" t="str">
        <x:v>BAIACU</x:v>
      </x:c>
      <x:c r="C15" s="141" t="str">
        <x:v>Aratu / TPG</x:v>
      </x:c>
      <x:c r="D15" s="116" t="str">
        <x:v>Anchored / Awaiting berth</x:v>
      </x:c>
      <x:c r="E15" s="141" t="str">
        <x:v>Naphtha</x:v>
      </x:c>
      <x:c r="F15" s="162" t="n">
        <x:v>60414760</x:v>
      </x:c>
      <x:c r="G15" s="152" t="n">
        <x:f>IF(F15="","",F15/1000000)</x:f>
        <x:v>60.41476</x:v>
      </x:c>
      <x:c r="H15" s="141" t="str">
        <x:v>BRASKEM S.A.</x:v>
      </x:c>
      <x:c r="I15" s="141" t="str">
        <x:v>Yes</x:v>
      </x:c>
      <x:c r="J15" s="141" t="str">
        <x:v>Third-party</x:v>
      </x:c>
      <x:c r="K15" s="140" t="n">
        <x:v>46301.333333333336</x:v>
      </x:c>
      <x:c r="L15" s="140" t="n">
        <x:v>46313</x:v>
      </x:c>
      <x:c r="M15" s="141" t="str">
        <x:v>Tier 1 live</x:v>
      </x:c>
      <x:c r="N15" s="141" t="str">
        <x:v>https://codeba.gov.br/eficiente/sites/portalcodeba/pt-br/porto_aratu.php?secao=tportos_aratu</x:v>
      </x:c>
      <x:c r="O15" s="140" t="n">
        <x:v>46307</x:v>
      </x:c>
      <x:c r="P15" s="141" t="str">
        <x:v>CODEBA Oct-12. Program 24347; DUV 454222026. Planned cargo, completion unverified. Source now reports 60.414760kt; prior quantity was unknown.</x:v>
      </x:c>
      <x:c r="Q15" s="136"/>
      <x:c r="R15" s="136"/>
      <x:c r="S15" s="136"/>
      <x:c r="T15" s="136"/>
      <x:c r="U15" s="136"/>
      <x:c r="V15" s="136"/>
      <x:c r="W15" s="136"/>
      <x:c r="X15" s="136"/>
      <x:c r="Y15" s="136"/>
      <x:c r="Z15" s="136"/>
    </x:row>
    <x:row r="16">
      <x:c r="A16" s="140" t="n">
        <x:v>46313</x:v>
      </x:c>
      <x:c r="B16" s="141" t="str">
        <x:v>CLYDE</x:v>
      </x:c>
      <x:c r="C16" s="141" t="str">
        <x:v>Aratu / TPG</x:v>
      </x:c>
      <x:c r="D16" s="116" t="str">
        <x:v>Scheduled</x:v>
      </x:c>
      <x:c r="E16" s="141" t="str">
        <x:v>Naphtha</x:v>
      </x:c>
      <x:c r="F16" s="162" t="n">
        <x:v>27600000</x:v>
      </x:c>
      <x:c r="G16" s="152" t="n">
        <x:f>IF(F16="","",F16/1000000)</x:f>
        <x:v>27.6</x:v>
      </x:c>
      <x:c r="H16" s="141" t="str">
        <x:v>BRASKEM S.A.</x:v>
      </x:c>
      <x:c r="I16" s="141" t="str">
        <x:v>Yes</x:v>
      </x:c>
      <x:c r="J16" s="141" t="str">
        <x:v>Third-party</x:v>
      </x:c>
      <x:c r="K16" s="140" t="n">
        <x:v>46307.5</x:v>
      </x:c>
      <x:c r="L16" s="140" t="n">
        <x:v>46314</x:v>
      </x:c>
      <x:c r="M16" s="141" t="str">
        <x:v>Tier 1 forward</x:v>
      </x:c>
      <x:c r="N16" s="141" t="str">
        <x:v>https://codeba.gov.br/eficiente/sites/portalcodeba/pt-br/porto_aratu.php?secao=tportos_aratu</x:v>
      </x:c>
      <x:c r="O16" s="140" t="n">
        <x:v>46307</x:v>
      </x:c>
      <x:c r="P16" s="141" t="str">
        <x:v>CODEBA Oct-12. Program 24375; DUV 483712026. Planned cargo, completion unverified.</x:v>
      </x:c>
      <x:c r="Q16" s="136"/>
      <x:c r="R16" s="136"/>
      <x:c r="S16" s="136"/>
      <x:c r="T16" s="136"/>
      <x:c r="U16" s="136"/>
      <x:c r="V16" s="136"/>
      <x:c r="W16" s="136"/>
      <x:c r="X16" s="136"/>
      <x:c r="Y16" s="136"/>
      <x:c r="Z16" s="136"/>
    </x:row>
    <x:row r="17">
      <x:c r="A17" s="136"/>
      <x:c r="B17" s="136"/>
      <x:c r="C17" s="136"/>
      <x:c r="D17" s="136"/>
      <x:c r="E17" s="136"/>
      <x:c r="F17" s="136"/>
      <x:c r="G17" s="136"/>
      <x:c r="H17" s="136"/>
      <x:c r="I17" s="136"/>
      <x:c r="J17" s="136"/>
      <x:c r="K17" s="136"/>
      <x:c r="L17" s="136"/>
      <x:c r="M17" s="136"/>
      <x:c r="N17" s="136"/>
      <x:c r="O17" s="136"/>
      <x:c r="P17" s="136"/>
      <x:c r="Q17" s="136"/>
      <x:c r="R17" s="136"/>
      <x:c r="S17" s="136"/>
      <x:c r="T17" s="136"/>
      <x:c r="U17" s="136"/>
      <x:c r="V17" s="136"/>
      <x:c r="W17" s="136"/>
      <x:c r="X17" s="136"/>
      <x:c r="Y17" s="136"/>
      <x:c r="Z17" s="136"/>
    </x:row>
    <x:row r="18">
      <x:c r="A18" s="136"/>
      <x:c r="B18" s="136"/>
      <x:c r="C18" s="136"/>
      <x:c r="D18" s="136"/>
      <x:c r="E18" s="136"/>
      <x:c r="F18" s="136"/>
      <x:c r="G18" s="136"/>
      <x:c r="H18" s="136"/>
      <x:c r="I18" s="136"/>
      <x:c r="J18" s="136"/>
      <x:c r="K18" s="136"/>
      <x:c r="L18" s="136"/>
      <x:c r="M18" s="136"/>
      <x:c r="N18" s="136"/>
      <x:c r="O18" s="136"/>
      <x:c r="P18" s="136"/>
      <x:c r="Q18" s="136"/>
      <x:c r="R18" s="136"/>
      <x:c r="S18" s="136"/>
      <x:c r="T18" s="136"/>
      <x:c r="U18" s="136"/>
      <x:c r="V18" s="136"/>
      <x:c r="W18" s="136"/>
      <x:c r="X18" s="136"/>
      <x:c r="Y18" s="136"/>
      <x:c r="Z18" s="136"/>
    </x:row>
    <x:row r="19">
      <x:c r="A19" s="136"/>
      <x:c r="B19" s="136"/>
      <x:c r="C19" s="136"/>
      <x:c r="D19" s="136"/>
      <x:c r="E19" s="136"/>
      <x:c r="F19" s="136"/>
      <x:c r="G19" s="136"/>
      <x:c r="H19" s="136"/>
      <x:c r="I19" s="136"/>
      <x:c r="J19" s="136"/>
      <x:c r="K19" s="136"/>
      <x:c r="L19" s="136"/>
      <x:c r="M19" s="136"/>
      <x:c r="N19" s="136"/>
      <x:c r="O19" s="136"/>
      <x:c r="P19" s="136"/>
      <x:c r="Q19" s="136"/>
      <x:c r="R19" s="136"/>
      <x:c r="S19" s="136"/>
      <x:c r="T19" s="136"/>
      <x:c r="U19" s="136"/>
      <x:c r="V19" s="136"/>
      <x:c r="W19" s="136"/>
      <x:c r="X19" s="136"/>
      <x:c r="Y19" s="136"/>
      <x:c r="Z19" s="136"/>
    </x:row>
    <x:row r="20">
      <x:c r="A20" s="136"/>
      <x:c r="B20" s="136"/>
      <x:c r="C20" s="136"/>
      <x:c r="D20" s="136"/>
      <x:c r="E20" s="136"/>
      <x:c r="F20" s="136"/>
      <x:c r="G20" s="136"/>
      <x:c r="H20" s="136"/>
      <x:c r="I20" s="136"/>
      <x:c r="J20" s="136"/>
      <x:c r="K20" s="136"/>
      <x:c r="L20" s="136"/>
      <x:c r="M20" s="136"/>
      <x:c r="N20" s="136"/>
      <x:c r="O20" s="136"/>
      <x:c r="P20" s="136"/>
      <x:c r="Q20" s="136"/>
      <x:c r="R20" s="136"/>
      <x:c r="S20" s="136"/>
      <x:c r="T20" s="136"/>
      <x:c r="U20" s="136"/>
      <x:c r="V20" s="136"/>
      <x:c r="W20" s="136"/>
      <x:c r="X20" s="136"/>
      <x:c r="Y20" s="136"/>
      <x:c r="Z20" s="136"/>
    </x:row>
    <x:row r="21">
      <x:c r="A21" s="136"/>
      <x:c r="B21" s="136"/>
      <x:c r="C21" s="136"/>
      <x:c r="D21" s="136"/>
      <x:c r="E21" s="136"/>
      <x:c r="F21" s="136"/>
      <x:c r="G21" s="136"/>
      <x:c r="H21" s="136"/>
      <x:c r="I21" s="136"/>
      <x:c r="J21" s="136"/>
      <x:c r="K21" s="136"/>
      <x:c r="L21" s="136"/>
      <x:c r="M21" s="136"/>
      <x:c r="N21" s="136"/>
      <x:c r="O21" s="136"/>
      <x:c r="P21" s="136"/>
      <x:c r="Q21" s="136"/>
      <x:c r="R21" s="136"/>
      <x:c r="S21" s="136"/>
      <x:c r="T21" s="136"/>
      <x:c r="U21" s="136"/>
      <x:c r="V21" s="136"/>
      <x:c r="W21" s="136"/>
      <x:c r="X21" s="136"/>
      <x:c r="Y21" s="136"/>
      <x:c r="Z21" s="136"/>
    </x:row>
    <x:row r="22">
      <x:c r="A22" s="136"/>
      <x:c r="B22" s="136"/>
      <x:c r="C22" s="136"/>
      <x:c r="D22" s="136"/>
      <x:c r="E22" s="136"/>
      <x:c r="F22" s="136"/>
      <x:c r="G22" s="136"/>
      <x:c r="H22" s="136"/>
      <x:c r="I22" s="136"/>
      <x:c r="J22" s="136"/>
      <x:c r="K22" s="136"/>
      <x:c r="L22" s="136"/>
      <x:c r="M22" s="136"/>
      <x:c r="N22" s="136"/>
      <x:c r="O22" s="136"/>
      <x:c r="P22" s="136"/>
      <x:c r="Q22" s="136"/>
      <x:c r="R22" s="136"/>
      <x:c r="S22" s="136"/>
      <x:c r="T22" s="136"/>
      <x:c r="U22" s="136"/>
      <x:c r="V22" s="136"/>
      <x:c r="W22" s="136"/>
      <x:c r="X22" s="136"/>
      <x:c r="Y22" s="136"/>
      <x:c r="Z22" s="136"/>
    </x:row>
    <x:row r="23">
      <x:c r="A23" s="136"/>
      <x:c r="B23" s="136"/>
      <x:c r="C23" s="136"/>
      <x:c r="D23" s="136"/>
      <x:c r="E23" s="136"/>
      <x:c r="F23" s="136"/>
      <x:c r="G23" s="136"/>
      <x:c r="H23" s="136"/>
      <x:c r="I23" s="136"/>
      <x:c r="J23" s="136"/>
      <x:c r="K23" s="136"/>
      <x:c r="L23" s="136"/>
      <x:c r="M23" s="136"/>
      <x:c r="N23" s="136"/>
      <x:c r="O23" s="136"/>
      <x:c r="P23" s="136"/>
      <x:c r="Q23" s="136"/>
      <x:c r="R23" s="136"/>
      <x:c r="S23" s="136"/>
      <x:c r="T23" s="136"/>
      <x:c r="U23" s="136"/>
      <x:c r="V23" s="136"/>
      <x:c r="W23" s="136"/>
      <x:c r="X23" s="136"/>
      <x:c r="Y23" s="136"/>
      <x:c r="Z23" s="136"/>
    </x:row>
    <x:row r="24">
      <x:c r="A24" s="136"/>
      <x:c r="B24" s="136"/>
      <x:c r="C24" s="136"/>
      <x:c r="D24" s="136"/>
      <x:c r="E24" s="136"/>
      <x:c r="F24" s="136"/>
      <x:c r="G24" s="136"/>
      <x:c r="H24" s="136"/>
      <x:c r="I24" s="136"/>
      <x:c r="J24" s="136"/>
      <x:c r="K24" s="136"/>
      <x:c r="L24" s="136"/>
      <x:c r="M24" s="136"/>
      <x:c r="N24" s="136"/>
      <x:c r="O24" s="136"/>
      <x:c r="P24" s="136"/>
      <x:c r="Q24" s="136"/>
      <x:c r="R24" s="136"/>
      <x:c r="S24" s="136"/>
      <x:c r="T24" s="136"/>
      <x:c r="U24" s="136"/>
      <x:c r="V24" s="136"/>
      <x:c r="W24" s="136"/>
      <x:c r="X24" s="136"/>
      <x:c r="Y24" s="136"/>
      <x:c r="Z24" s="136"/>
    </x:row>
    <x:row r="25">
      <x:c r="A25" s="136"/>
      <x:c r="B25" s="136"/>
      <x:c r="C25" s="136"/>
      <x:c r="D25" s="136"/>
      <x:c r="E25" s="136"/>
      <x:c r="F25" s="136"/>
      <x:c r="G25" s="136"/>
      <x:c r="H25" s="136"/>
      <x:c r="I25" s="136"/>
      <x:c r="J25" s="136"/>
      <x:c r="K25" s="136"/>
      <x:c r="L25" s="136"/>
      <x:c r="M25" s="136"/>
      <x:c r="N25" s="136"/>
      <x:c r="O25" s="136"/>
      <x:c r="P25" s="136"/>
      <x:c r="Q25" s="136"/>
      <x:c r="R25" s="136"/>
      <x:c r="S25" s="136"/>
      <x:c r="T25" s="136"/>
      <x:c r="U25" s="136"/>
      <x:c r="V25" s="136"/>
      <x:c r="W25" s="136"/>
      <x:c r="X25" s="136"/>
      <x:c r="Y25" s="136"/>
      <x:c r="Z25" s="136"/>
    </x:row>
    <x:row r="26">
      <x:c r="A26" s="136"/>
      <x:c r="B26" s="136"/>
      <x:c r="C26" s="136"/>
      <x:c r="D26" s="136"/>
      <x:c r="E26" s="136"/>
      <x:c r="F26" s="136"/>
      <x:c r="G26" s="136"/>
      <x:c r="H26" s="136"/>
      <x:c r="I26" s="136"/>
      <x:c r="J26" s="136"/>
      <x:c r="K26" s="136"/>
      <x:c r="L26" s="136"/>
      <x:c r="M26" s="136"/>
      <x:c r="N26" s="136"/>
      <x:c r="O26" s="136"/>
      <x:c r="P26" s="136"/>
      <x:c r="Q26" s="136"/>
      <x:c r="R26" s="136"/>
      <x:c r="S26" s="136"/>
      <x:c r="T26" s="136"/>
      <x:c r="U26" s="136"/>
      <x:c r="V26" s="136"/>
      <x:c r="W26" s="136"/>
      <x:c r="X26" s="136"/>
      <x:c r="Y26" s="136"/>
      <x:c r="Z26" s="136"/>
    </x:row>
    <x:row r="27">
      <x:c r="A27" s="136"/>
      <x:c r="B27" s="136"/>
      <x:c r="C27" s="136"/>
      <x:c r="D27" s="136"/>
      <x:c r="E27" s="136"/>
      <x:c r="F27" s="136"/>
      <x:c r="G27" s="136"/>
      <x:c r="H27" s="136"/>
      <x:c r="I27" s="136"/>
      <x:c r="J27" s="136"/>
      <x:c r="K27" s="136"/>
      <x:c r="L27" s="136"/>
      <x:c r="M27" s="136"/>
      <x:c r="N27" s="136"/>
      <x:c r="O27" s="136"/>
      <x:c r="P27" s="136"/>
      <x:c r="Q27" s="136"/>
      <x:c r="R27" s="136"/>
      <x:c r="S27" s="136"/>
      <x:c r="T27" s="136"/>
      <x:c r="U27" s="136"/>
      <x:c r="V27" s="136"/>
      <x:c r="W27" s="136"/>
      <x:c r="X27" s="136"/>
      <x:c r="Y27" s="136"/>
      <x:c r="Z27" s="136"/>
    </x:row>
    <x:row r="28">
      <x:c r="A28" s="136"/>
      <x:c r="B28" s="136"/>
      <x:c r="C28" s="136"/>
      <x:c r="D28" s="136"/>
      <x:c r="E28" s="136"/>
      <x:c r="F28" s="136"/>
      <x:c r="G28" s="136"/>
      <x:c r="H28" s="136"/>
      <x:c r="I28" s="136"/>
      <x:c r="J28" s="136"/>
      <x:c r="K28" s="136"/>
      <x:c r="L28" s="136"/>
      <x:c r="M28" s="136"/>
      <x:c r="N28" s="136"/>
      <x:c r="O28" s="136"/>
      <x:c r="P28" s="136"/>
      <x:c r="Q28" s="136"/>
      <x:c r="R28" s="136"/>
      <x:c r="S28" s="136"/>
      <x:c r="T28" s="136"/>
      <x:c r="U28" s="136"/>
      <x:c r="V28" s="136"/>
      <x:c r="W28" s="136"/>
      <x:c r="X28" s="136"/>
      <x:c r="Y28" s="136"/>
      <x:c r="Z28" s="136"/>
    </x:row>
    <x:row r="29">
      <x:c r="A29" s="136"/>
      <x:c r="B29" s="136"/>
      <x:c r="C29" s="136"/>
      <x:c r="D29" s="136"/>
      <x:c r="E29" s="136"/>
      <x:c r="F29" s="136"/>
      <x:c r="G29" s="136"/>
      <x:c r="H29" s="136"/>
      <x:c r="I29" s="136"/>
      <x:c r="J29" s="136"/>
      <x:c r="K29" s="136"/>
      <x:c r="L29" s="136"/>
      <x:c r="M29" s="136"/>
      <x:c r="N29" s="136"/>
      <x:c r="O29" s="136"/>
      <x:c r="P29" s="136"/>
      <x:c r="Q29" s="136"/>
      <x:c r="R29" s="136"/>
      <x:c r="S29" s="136"/>
      <x:c r="T29" s="136"/>
      <x:c r="U29" s="136"/>
      <x:c r="V29" s="136"/>
      <x:c r="W29" s="136"/>
      <x:c r="X29" s="136"/>
      <x:c r="Y29" s="136"/>
      <x:c r="Z29" s="136"/>
    </x:row>
    <x:row r="30">
      <x:c r="A30" s="136"/>
      <x:c r="B30" s="136"/>
      <x:c r="C30" s="136"/>
      <x:c r="D30" s="136"/>
      <x:c r="E30" s="136"/>
      <x:c r="F30" s="136"/>
      <x:c r="G30" s="136"/>
      <x:c r="H30" s="136"/>
      <x:c r="I30" s="136"/>
      <x:c r="J30" s="136"/>
      <x:c r="K30" s="136"/>
      <x:c r="L30" s="136"/>
      <x:c r="M30" s="136"/>
      <x:c r="N30" s="136"/>
      <x:c r="O30" s="136"/>
      <x:c r="P30" s="136"/>
      <x:c r="Q30" s="136"/>
      <x:c r="R30" s="136"/>
      <x:c r="S30" s="136"/>
      <x:c r="T30" s="136"/>
      <x:c r="U30" s="136"/>
      <x:c r="V30" s="136"/>
      <x:c r="W30" s="136"/>
      <x:c r="X30" s="136"/>
      <x:c r="Y30" s="136"/>
      <x:c r="Z30" s="136"/>
    </x:row>
    <x:row r="31">
      <x:c r="A31" s="136"/>
      <x:c r="B31" s="136"/>
      <x:c r="C31" s="136"/>
      <x:c r="D31" s="136"/>
      <x:c r="E31" s="136"/>
      <x:c r="F31" s="136"/>
      <x:c r="G31" s="136"/>
      <x:c r="H31" s="136"/>
      <x:c r="I31" s="136"/>
      <x:c r="J31" s="136"/>
      <x:c r="K31" s="136"/>
      <x:c r="L31" s="136"/>
      <x:c r="M31" s="136"/>
      <x:c r="N31" s="136"/>
      <x:c r="O31" s="136"/>
      <x:c r="P31" s="136"/>
      <x:c r="Q31" s="136"/>
      <x:c r="R31" s="136"/>
      <x:c r="S31" s="136"/>
      <x:c r="T31" s="136"/>
      <x:c r="U31" s="136"/>
      <x:c r="V31" s="136"/>
      <x:c r="W31" s="136"/>
      <x:c r="X31" s="136"/>
      <x:c r="Y31" s="136"/>
      <x:c r="Z31" s="136"/>
    </x:row>
    <x:row r="32">
      <x:c r="A32" s="136"/>
      <x:c r="B32" s="136"/>
      <x:c r="C32" s="136"/>
      <x:c r="D32" s="136"/>
      <x:c r="E32" s="136"/>
      <x:c r="F32" s="136"/>
      <x:c r="G32" s="136"/>
      <x:c r="H32" s="136"/>
      <x:c r="I32" s="136"/>
      <x:c r="J32" s="136"/>
      <x:c r="K32" s="136"/>
      <x:c r="L32" s="136"/>
      <x:c r="M32" s="136"/>
      <x:c r="N32" s="136"/>
      <x:c r="O32" s="136"/>
      <x:c r="P32" s="136"/>
      <x:c r="Q32" s="136"/>
      <x:c r="R32" s="136"/>
      <x:c r="S32" s="136"/>
      <x:c r="T32" s="136"/>
      <x:c r="U32" s="136"/>
      <x:c r="V32" s="136"/>
      <x:c r="W32" s="136"/>
      <x:c r="X32" s="136"/>
      <x:c r="Y32" s="136"/>
      <x:c r="Z32" s="136"/>
    </x:row>
    <x:row r="33">
      <x:c r="A33" s="136"/>
      <x:c r="B33" s="136"/>
      <x:c r="C33" s="136"/>
      <x:c r="D33" s="136"/>
      <x:c r="E33" s="136"/>
      <x:c r="F33" s="136"/>
      <x:c r="G33" s="136"/>
      <x:c r="H33" s="136"/>
      <x:c r="I33" s="136"/>
      <x:c r="J33" s="136"/>
      <x:c r="K33" s="136"/>
      <x:c r="L33" s="136"/>
      <x:c r="M33" s="136"/>
      <x:c r="N33" s="136"/>
      <x:c r="O33" s="136"/>
      <x:c r="P33" s="136"/>
      <x:c r="Q33" s="136"/>
      <x:c r="R33" s="136"/>
      <x:c r="S33" s="136"/>
      <x:c r="T33" s="136"/>
      <x:c r="U33" s="136"/>
      <x:c r="V33" s="136"/>
      <x:c r="W33" s="136"/>
      <x:c r="X33" s="136"/>
      <x:c r="Y33" s="136"/>
      <x:c r="Z33" s="136"/>
    </x:row>
    <x:row r="34">
      <x:c r="A34" s="136"/>
      <x:c r="B34" s="136"/>
      <x:c r="C34" s="136"/>
      <x:c r="D34" s="136"/>
      <x:c r="E34" s="136"/>
      <x:c r="F34" s="136"/>
      <x:c r="G34" s="136"/>
      <x:c r="H34" s="136"/>
      <x:c r="I34" s="136"/>
      <x:c r="J34" s="136"/>
      <x:c r="K34" s="136"/>
      <x:c r="L34" s="136"/>
      <x:c r="M34" s="136"/>
      <x:c r="N34" s="136"/>
      <x:c r="O34" s="136"/>
      <x:c r="P34" s="136"/>
      <x:c r="Q34" s="136"/>
      <x:c r="R34" s="136"/>
      <x:c r="S34" s="136"/>
      <x:c r="T34" s="136"/>
      <x:c r="U34" s="136"/>
      <x:c r="V34" s="136"/>
      <x:c r="W34" s="136"/>
      <x:c r="X34" s="136"/>
      <x:c r="Y34" s="136"/>
      <x:c r="Z34" s="136"/>
    </x:row>
    <x:row r="35">
      <x:c r="A35" s="136"/>
      <x:c r="B35" s="136"/>
      <x:c r="C35" s="136"/>
      <x:c r="D35" s="136"/>
      <x:c r="E35" s="136"/>
      <x:c r="F35" s="136"/>
      <x:c r="G35" s="136"/>
      <x:c r="H35" s="136"/>
      <x:c r="I35" s="136"/>
      <x:c r="J35" s="136"/>
      <x:c r="K35" s="136"/>
      <x:c r="L35" s="136"/>
      <x:c r="M35" s="136"/>
      <x:c r="N35" s="136"/>
      <x:c r="O35" s="136"/>
      <x:c r="P35" s="136"/>
      <x:c r="Q35" s="136"/>
      <x:c r="R35" s="136"/>
      <x:c r="S35" s="136"/>
      <x:c r="T35" s="136"/>
      <x:c r="U35" s="136"/>
      <x:c r="V35" s="136"/>
      <x:c r="W35" s="136"/>
      <x:c r="X35" s="136"/>
      <x:c r="Y35" s="136"/>
      <x:c r="Z35" s="136"/>
    </x:row>
    <x:row r="36">
      <x:c r="A36" s="136"/>
      <x:c r="B36" s="136"/>
      <x:c r="C36" s="136"/>
      <x:c r="D36" s="136"/>
      <x:c r="E36" s="136"/>
      <x:c r="F36" s="136"/>
      <x:c r="G36" s="136"/>
      <x:c r="H36" s="136"/>
      <x:c r="I36" s="136"/>
      <x:c r="J36" s="136"/>
      <x:c r="K36" s="136"/>
      <x:c r="L36" s="136"/>
      <x:c r="M36" s="136"/>
      <x:c r="N36" s="136"/>
      <x:c r="O36" s="136"/>
      <x:c r="P36" s="136"/>
      <x:c r="Q36" s="136"/>
      <x:c r="R36" s="136"/>
      <x:c r="S36" s="136"/>
      <x:c r="T36" s="136"/>
      <x:c r="U36" s="136"/>
      <x:c r="V36" s="136"/>
      <x:c r="W36" s="136"/>
      <x:c r="X36" s="136"/>
      <x:c r="Y36" s="136"/>
      <x:c r="Z36" s="136"/>
    </x:row>
    <x:row r="37">
      <x:c r="A37" s="136"/>
      <x:c r="B37" s="136"/>
      <x:c r="C37" s="136"/>
      <x:c r="D37" s="136"/>
      <x:c r="E37" s="136"/>
      <x:c r="F37" s="136"/>
      <x:c r="G37" s="136"/>
      <x:c r="H37" s="136"/>
      <x:c r="I37" s="136"/>
      <x:c r="J37" s="136"/>
      <x:c r="K37" s="136"/>
      <x:c r="L37" s="136"/>
      <x:c r="M37" s="136"/>
      <x:c r="N37" s="136"/>
      <x:c r="O37" s="136"/>
      <x:c r="P37" s="136"/>
      <x:c r="Q37" s="136"/>
      <x:c r="R37" s="136"/>
      <x:c r="S37" s="136"/>
      <x:c r="T37" s="136"/>
      <x:c r="U37" s="136"/>
      <x:c r="V37" s="136"/>
      <x:c r="W37" s="136"/>
      <x:c r="X37" s="136"/>
      <x:c r="Y37" s="136"/>
      <x:c r="Z37" s="136"/>
    </x:row>
    <x:row r="38">
      <x:c r="A38" s="136"/>
      <x:c r="B38" s="136"/>
      <x:c r="C38" s="136"/>
      <x:c r="D38" s="136"/>
      <x:c r="E38" s="136"/>
      <x:c r="F38" s="136"/>
      <x:c r="G38" s="136"/>
      <x:c r="H38" s="136"/>
      <x:c r="I38" s="136"/>
      <x:c r="J38" s="136"/>
      <x:c r="K38" s="136"/>
      <x:c r="L38" s="136"/>
      <x:c r="M38" s="136"/>
      <x:c r="N38" s="136"/>
      <x:c r="O38" s="136"/>
      <x:c r="P38" s="136"/>
      <x:c r="Q38" s="136"/>
      <x:c r="R38" s="136"/>
      <x:c r="S38" s="136"/>
      <x:c r="T38" s="136"/>
      <x:c r="U38" s="136"/>
      <x:c r="V38" s="136"/>
      <x:c r="W38" s="136"/>
      <x:c r="X38" s="136"/>
      <x:c r="Y38" s="136"/>
      <x:c r="Z38" s="136"/>
    </x:row>
    <x:row r="39">
      <x:c r="A39" s="136"/>
      <x:c r="B39" s="136"/>
      <x:c r="C39" s="136"/>
      <x:c r="D39" s="136"/>
      <x:c r="E39" s="136"/>
      <x:c r="F39" s="136"/>
      <x:c r="G39" s="136"/>
      <x:c r="H39" s="136"/>
      <x:c r="I39" s="136"/>
      <x:c r="J39" s="136"/>
      <x:c r="K39" s="136"/>
      <x:c r="L39" s="136"/>
      <x:c r="M39" s="136"/>
      <x:c r="N39" s="136"/>
      <x:c r="O39" s="136"/>
      <x:c r="P39" s="136"/>
      <x:c r="Q39" s="136"/>
      <x:c r="R39" s="136"/>
      <x:c r="S39" s="136"/>
      <x:c r="T39" s="136"/>
      <x:c r="U39" s="136"/>
      <x:c r="V39" s="136"/>
      <x:c r="W39" s="136"/>
      <x:c r="X39" s="136"/>
      <x:c r="Y39" s="136"/>
      <x:c r="Z39" s="136"/>
    </x:row>
    <x:row r="40">
      <x:c r="A40" s="136"/>
      <x:c r="B40" s="136"/>
      <x:c r="C40" s="136"/>
      <x:c r="D40" s="136"/>
      <x:c r="E40" s="136"/>
      <x:c r="F40" s="136"/>
      <x:c r="G40" s="136"/>
      <x:c r="H40" s="136"/>
      <x:c r="I40" s="136"/>
      <x:c r="J40" s="136"/>
      <x:c r="K40" s="136"/>
      <x:c r="L40" s="136"/>
      <x:c r="M40" s="136"/>
      <x:c r="N40" s="136"/>
      <x:c r="O40" s="136"/>
      <x:c r="P40" s="136"/>
      <x:c r="Q40" s="136"/>
      <x:c r="R40" s="136"/>
      <x:c r="S40" s="136"/>
      <x:c r="T40" s="136"/>
      <x:c r="U40" s="136"/>
      <x:c r="V40" s="136"/>
      <x:c r="W40" s="136"/>
      <x:c r="X40" s="136"/>
      <x:c r="Y40" s="136"/>
      <x:c r="Z40" s="136"/>
    </x:row>
    <x:row r="41">
      <x:c r="A41" s="136"/>
      <x:c r="B41" s="136"/>
      <x:c r="C41" s="136"/>
      <x:c r="D41" s="136"/>
      <x:c r="E41" s="136"/>
      <x:c r="F41" s="136"/>
      <x:c r="G41" s="136"/>
      <x:c r="H41" s="136"/>
      <x:c r="I41" s="136"/>
      <x:c r="J41" s="136"/>
      <x:c r="K41" s="136"/>
      <x:c r="L41" s="136"/>
      <x:c r="M41" s="136"/>
      <x:c r="N41" s="136"/>
      <x:c r="O41" s="136"/>
      <x:c r="P41" s="136"/>
      <x:c r="Q41" s="136"/>
      <x:c r="R41" s="136"/>
      <x:c r="S41" s="136"/>
      <x:c r="T41" s="136"/>
      <x:c r="U41" s="136"/>
      <x:c r="V41" s="136"/>
      <x:c r="W41" s="136"/>
      <x:c r="X41" s="136"/>
      <x:c r="Y41" s="136"/>
      <x:c r="Z41" s="136"/>
    </x:row>
    <x:row r="42">
      <x:c r="A42" s="136"/>
      <x:c r="B42" s="136"/>
      <x:c r="C42" s="136"/>
      <x:c r="D42" s="136"/>
      <x:c r="E42" s="136"/>
      <x:c r="F42" s="136"/>
      <x:c r="G42" s="136"/>
      <x:c r="H42" s="136"/>
      <x:c r="I42" s="136"/>
      <x:c r="J42" s="136"/>
      <x:c r="K42" s="136"/>
      <x:c r="L42" s="136"/>
      <x:c r="M42" s="136"/>
      <x:c r="N42" s="136"/>
      <x:c r="O42" s="136"/>
      <x:c r="P42" s="136"/>
      <x:c r="Q42" s="136"/>
      <x:c r="R42" s="136"/>
      <x:c r="S42" s="136"/>
      <x:c r="T42" s="136"/>
      <x:c r="U42" s="136"/>
      <x:c r="V42" s="136"/>
      <x:c r="W42" s="136"/>
      <x:c r="X42" s="136"/>
      <x:c r="Y42" s="136"/>
      <x:c r="Z42" s="136"/>
    </x:row>
    <x:row r="43">
      <x:c r="A43" s="136"/>
      <x:c r="B43" s="136"/>
      <x:c r="C43" s="136"/>
      <x:c r="D43" s="136"/>
      <x:c r="E43" s="136"/>
      <x:c r="F43" s="136"/>
      <x:c r="G43" s="136"/>
      <x:c r="H43" s="136"/>
      <x:c r="I43" s="136"/>
      <x:c r="J43" s="136"/>
      <x:c r="K43" s="136"/>
      <x:c r="L43" s="136"/>
      <x:c r="M43" s="136"/>
      <x:c r="N43" s="136"/>
      <x:c r="O43" s="136"/>
      <x:c r="P43" s="136"/>
      <x:c r="Q43" s="136"/>
      <x:c r="R43" s="136"/>
      <x:c r="S43" s="136"/>
      <x:c r="T43" s="136"/>
      <x:c r="U43" s="136"/>
      <x:c r="V43" s="136"/>
      <x:c r="W43" s="136"/>
      <x:c r="X43" s="136"/>
      <x:c r="Y43" s="136"/>
      <x:c r="Z43" s="136"/>
    </x:row>
    <x:row r="44">
      <x:c r="A44" s="136"/>
      <x:c r="B44" s="136"/>
      <x:c r="C44" s="136"/>
      <x:c r="D44" s="136"/>
      <x:c r="E44" s="136"/>
      <x:c r="F44" s="136"/>
      <x:c r="G44" s="136"/>
      <x:c r="H44" s="136"/>
      <x:c r="I44" s="136"/>
      <x:c r="J44" s="136"/>
      <x:c r="K44" s="136"/>
      <x:c r="L44" s="136"/>
      <x:c r="M44" s="136"/>
      <x:c r="N44" s="136"/>
      <x:c r="O44" s="136"/>
      <x:c r="P44" s="136"/>
      <x:c r="Q44" s="136"/>
      <x:c r="R44" s="136"/>
      <x:c r="S44" s="136"/>
      <x:c r="T44" s="136"/>
      <x:c r="U44" s="136"/>
      <x:c r="V44" s="136"/>
      <x:c r="W44" s="136"/>
      <x:c r="X44" s="136"/>
      <x:c r="Y44" s="136"/>
      <x:c r="Z44" s="136"/>
    </x:row>
    <x:row r="45">
      <x:c r="A45" s="136"/>
      <x:c r="B45" s="136"/>
      <x:c r="C45" s="136"/>
      <x:c r="D45" s="136"/>
      <x:c r="E45" s="136"/>
      <x:c r="F45" s="136"/>
      <x:c r="G45" s="136"/>
      <x:c r="H45" s="136"/>
      <x:c r="I45" s="136"/>
      <x:c r="J45" s="136"/>
      <x:c r="K45" s="136"/>
      <x:c r="L45" s="136"/>
      <x:c r="M45" s="136"/>
      <x:c r="N45" s="136"/>
      <x:c r="O45" s="136"/>
      <x:c r="P45" s="136"/>
      <x:c r="Q45" s="136"/>
      <x:c r="R45" s="136"/>
      <x:c r="S45" s="136"/>
      <x:c r="T45" s="136"/>
      <x:c r="U45" s="136"/>
      <x:c r="V45" s="136"/>
      <x:c r="W45" s="136"/>
      <x:c r="X45" s="136"/>
      <x:c r="Y45" s="136"/>
      <x:c r="Z45" s="136"/>
    </x:row>
    <x:row r="46">
      <x:c r="A46" s="136"/>
      <x:c r="B46" s="136"/>
      <x:c r="C46" s="136"/>
      <x:c r="D46" s="136"/>
      <x:c r="E46" s="136"/>
      <x:c r="F46" s="136"/>
      <x:c r="G46" s="136"/>
      <x:c r="H46" s="136"/>
      <x:c r="I46" s="136"/>
      <x:c r="J46" s="136"/>
      <x:c r="K46" s="136"/>
      <x:c r="L46" s="136"/>
      <x:c r="M46" s="136"/>
      <x:c r="N46" s="136"/>
      <x:c r="O46" s="136"/>
      <x:c r="P46" s="136"/>
      <x:c r="Q46" s="136"/>
      <x:c r="R46" s="136"/>
      <x:c r="S46" s="136"/>
      <x:c r="T46" s="136"/>
      <x:c r="U46" s="136"/>
      <x:c r="V46" s="136"/>
      <x:c r="W46" s="136"/>
      <x:c r="X46" s="136"/>
      <x:c r="Y46" s="136"/>
      <x:c r="Z46" s="136"/>
    </x:row>
    <x:row r="47">
      <x:c r="A47" s="136"/>
      <x:c r="B47" s="136"/>
      <x:c r="C47" s="136"/>
      <x:c r="D47" s="136"/>
      <x:c r="E47" s="136"/>
      <x:c r="F47" s="136"/>
      <x:c r="G47" s="136"/>
      <x:c r="H47" s="136"/>
      <x:c r="I47" s="136"/>
      <x:c r="J47" s="136"/>
      <x:c r="K47" s="136"/>
      <x:c r="L47" s="136"/>
      <x:c r="M47" s="136"/>
      <x:c r="N47" s="136"/>
      <x:c r="O47" s="136"/>
      <x:c r="P47" s="136"/>
      <x:c r="Q47" s="136"/>
      <x:c r="R47" s="136"/>
      <x:c r="S47" s="136"/>
      <x:c r="T47" s="136"/>
      <x:c r="U47" s="136"/>
      <x:c r="V47" s="136"/>
      <x:c r="W47" s="136"/>
      <x:c r="X47" s="136"/>
      <x:c r="Y47" s="136"/>
      <x:c r="Z47" s="136"/>
    </x:row>
    <x:row r="48">
      <x:c r="A48" s="136"/>
      <x:c r="B48" s="136"/>
      <x:c r="C48" s="136"/>
      <x:c r="D48" s="136"/>
      <x:c r="E48" s="136"/>
      <x:c r="F48" s="136"/>
      <x:c r="G48" s="136"/>
      <x:c r="H48" s="136"/>
      <x:c r="I48" s="136"/>
      <x:c r="J48" s="136"/>
      <x:c r="K48" s="136"/>
      <x:c r="L48" s="136"/>
      <x:c r="M48" s="136"/>
      <x:c r="N48" s="136"/>
      <x:c r="O48" s="136"/>
      <x:c r="P48" s="136"/>
      <x:c r="Q48" s="136"/>
      <x:c r="R48" s="136"/>
      <x:c r="S48" s="136"/>
      <x:c r="T48" s="136"/>
      <x:c r="U48" s="136"/>
      <x:c r="V48" s="136"/>
      <x:c r="W48" s="136"/>
      <x:c r="X48" s="136"/>
      <x:c r="Y48" s="136"/>
      <x:c r="Z48" s="136"/>
    </x:row>
    <x:row r="49">
      <x:c r="A49" s="136"/>
      <x:c r="B49" s="136"/>
      <x:c r="C49" s="136"/>
      <x:c r="D49" s="136"/>
      <x:c r="E49" s="136"/>
      <x:c r="F49" s="136"/>
      <x:c r="G49" s="136"/>
      <x:c r="H49" s="136"/>
      <x:c r="I49" s="136"/>
      <x:c r="J49" s="136"/>
      <x:c r="K49" s="136"/>
      <x:c r="L49" s="136"/>
      <x:c r="M49" s="136"/>
      <x:c r="N49" s="136"/>
      <x:c r="O49" s="136"/>
      <x:c r="P49" s="136"/>
      <x:c r="Q49" s="136"/>
      <x:c r="R49" s="136"/>
      <x:c r="S49" s="136"/>
      <x:c r="T49" s="136"/>
      <x:c r="U49" s="136"/>
      <x:c r="V49" s="136"/>
      <x:c r="W49" s="136"/>
      <x:c r="X49" s="136"/>
      <x:c r="Y49" s="136"/>
      <x:c r="Z49" s="136"/>
    </x:row>
    <x:row r="50">
      <x:c r="A50" s="136"/>
      <x:c r="B50" s="136"/>
      <x:c r="C50" s="136"/>
      <x:c r="D50" s="136"/>
      <x:c r="E50" s="136"/>
      <x:c r="F50" s="136"/>
      <x:c r="G50" s="136"/>
      <x:c r="H50" s="136"/>
      <x:c r="I50" s="136"/>
      <x:c r="J50" s="136"/>
      <x:c r="K50" s="136"/>
      <x:c r="L50" s="136"/>
      <x:c r="M50" s="136"/>
      <x:c r="N50" s="136"/>
      <x:c r="O50" s="136"/>
      <x:c r="P50" s="136"/>
      <x:c r="Q50" s="136"/>
      <x:c r="R50" s="136"/>
      <x:c r="S50" s="136"/>
      <x:c r="T50" s="136"/>
      <x:c r="U50" s="136"/>
      <x:c r="V50" s="136"/>
      <x:c r="W50" s="136"/>
      <x:c r="X50" s="136"/>
      <x:c r="Y50" s="136"/>
      <x:c r="Z50" s="136"/>
    </x:row>
    <x:row r="51">
      <x:c r="A51" s="136"/>
      <x:c r="B51" s="136"/>
      <x:c r="C51" s="136"/>
      <x:c r="D51" s="136"/>
      <x:c r="E51" s="136"/>
      <x:c r="F51" s="136"/>
      <x:c r="G51" s="136"/>
      <x:c r="H51" s="136"/>
      <x:c r="I51" s="136"/>
      <x:c r="J51" s="136"/>
      <x:c r="K51" s="136"/>
      <x:c r="L51" s="136"/>
      <x:c r="M51" s="136"/>
      <x:c r="N51" s="136"/>
      <x:c r="O51" s="136"/>
      <x:c r="P51" s="136"/>
      <x:c r="Q51" s="136"/>
      <x:c r="R51" s="136"/>
      <x:c r="S51" s="136"/>
      <x:c r="T51" s="136"/>
      <x:c r="U51" s="136"/>
      <x:c r="V51" s="136"/>
      <x:c r="W51" s="136"/>
      <x:c r="X51" s="136"/>
      <x:c r="Y51" s="136"/>
      <x:c r="Z51" s="136"/>
    </x:row>
    <x:row r="52">
      <x:c r="A52" s="136"/>
      <x:c r="B52" s="136"/>
      <x:c r="C52" s="136"/>
      <x:c r="D52" s="136"/>
      <x:c r="E52" s="136"/>
      <x:c r="F52" s="136"/>
      <x:c r="G52" s="136"/>
      <x:c r="H52" s="136"/>
      <x:c r="I52" s="136"/>
      <x:c r="J52" s="136"/>
      <x:c r="K52" s="136"/>
      <x:c r="L52" s="136"/>
      <x:c r="M52" s="136"/>
      <x:c r="N52" s="136"/>
      <x:c r="O52" s="136"/>
      <x:c r="P52" s="136"/>
      <x:c r="Q52" s="136"/>
      <x:c r="R52" s="136"/>
      <x:c r="S52" s="136"/>
      <x:c r="T52" s="136"/>
      <x:c r="U52" s="136"/>
      <x:c r="V52" s="136"/>
      <x:c r="W52" s="136"/>
      <x:c r="X52" s="136"/>
      <x:c r="Y52" s="136"/>
      <x:c r="Z52" s="136"/>
    </x:row>
    <x:row r="53">
      <x:c r="A53" s="136"/>
      <x:c r="B53" s="136"/>
      <x:c r="C53" s="136"/>
      <x:c r="D53" s="136"/>
      <x:c r="E53" s="136"/>
      <x:c r="F53" s="136"/>
      <x:c r="G53" s="136"/>
      <x:c r="H53" s="136"/>
      <x:c r="I53" s="136"/>
      <x:c r="J53" s="136"/>
      <x:c r="K53" s="136"/>
      <x:c r="L53" s="136"/>
      <x:c r="M53" s="136"/>
      <x:c r="N53" s="136"/>
      <x:c r="O53" s="136"/>
      <x:c r="P53" s="136"/>
      <x:c r="Q53" s="136"/>
      <x:c r="R53" s="136"/>
      <x:c r="S53" s="136"/>
      <x:c r="T53" s="136"/>
      <x:c r="U53" s="136"/>
      <x:c r="V53" s="136"/>
      <x:c r="W53" s="136"/>
      <x:c r="X53" s="136"/>
      <x:c r="Y53" s="136"/>
      <x:c r="Z53" s="136"/>
    </x:row>
    <x:row r="54">
      <x:c r="A54" s="136"/>
      <x:c r="B54" s="136"/>
      <x:c r="C54" s="136"/>
      <x:c r="D54" s="136"/>
      <x:c r="E54" s="136"/>
      <x:c r="F54" s="136"/>
      <x:c r="G54" s="136"/>
      <x:c r="H54" s="136"/>
      <x:c r="I54" s="136"/>
      <x:c r="J54" s="136"/>
      <x:c r="K54" s="136"/>
      <x:c r="L54" s="136"/>
      <x:c r="M54" s="136"/>
      <x:c r="N54" s="136"/>
      <x:c r="O54" s="136"/>
      <x:c r="P54" s="136"/>
      <x:c r="Q54" s="136"/>
      <x:c r="R54" s="136"/>
      <x:c r="S54" s="136"/>
      <x:c r="T54" s="136"/>
      <x:c r="U54" s="136"/>
      <x:c r="V54" s="136"/>
      <x:c r="W54" s="136"/>
      <x:c r="X54" s="136"/>
      <x:c r="Y54" s="136"/>
      <x:c r="Z54" s="136"/>
    </x:row>
    <x:row r="55">
      <x:c r="A55" s="136"/>
      <x:c r="B55" s="136"/>
      <x:c r="C55" s="136"/>
      <x:c r="D55" s="136"/>
      <x:c r="E55" s="136"/>
      <x:c r="F55" s="136"/>
      <x:c r="G55" s="136"/>
      <x:c r="H55" s="136"/>
      <x:c r="I55" s="136"/>
      <x:c r="J55" s="136"/>
      <x:c r="K55" s="136"/>
      <x:c r="L55" s="136"/>
      <x:c r="M55" s="136"/>
      <x:c r="N55" s="136"/>
      <x:c r="O55" s="136"/>
      <x:c r="P55" s="136"/>
      <x:c r="Q55" s="136"/>
      <x:c r="R55" s="136"/>
      <x:c r="S55" s="136"/>
      <x:c r="T55" s="136"/>
      <x:c r="U55" s="136"/>
      <x:c r="V55" s="136"/>
      <x:c r="W55" s="136"/>
      <x:c r="X55" s="136"/>
      <x:c r="Y55" s="136"/>
      <x:c r="Z55" s="136"/>
    </x:row>
    <x:row r="56">
      <x:c r="A56" s="136"/>
      <x:c r="B56" s="136"/>
      <x:c r="C56" s="136"/>
      <x:c r="D56" s="136"/>
      <x:c r="E56" s="136"/>
      <x:c r="F56" s="136"/>
      <x:c r="G56" s="136"/>
      <x:c r="H56" s="136"/>
      <x:c r="I56" s="136"/>
      <x:c r="J56" s="136"/>
      <x:c r="K56" s="136"/>
      <x:c r="L56" s="136"/>
      <x:c r="M56" s="136"/>
      <x:c r="N56" s="136"/>
      <x:c r="O56" s="136"/>
      <x:c r="P56" s="136"/>
      <x:c r="Q56" s="136"/>
      <x:c r="R56" s="136"/>
      <x:c r="S56" s="136"/>
      <x:c r="T56" s="136"/>
      <x:c r="U56" s="136"/>
      <x:c r="V56" s="136"/>
      <x:c r="W56" s="136"/>
      <x:c r="X56" s="136"/>
      <x:c r="Y56" s="136"/>
      <x:c r="Z56" s="136"/>
    </x:row>
    <x:row r="57">
      <x:c r="A57" s="136"/>
      <x:c r="B57" s="136"/>
      <x:c r="C57" s="136"/>
      <x:c r="D57" s="136"/>
      <x:c r="E57" s="136"/>
      <x:c r="F57" s="136"/>
      <x:c r="G57" s="136"/>
      <x:c r="H57" s="136"/>
      <x:c r="I57" s="136"/>
      <x:c r="J57" s="136"/>
      <x:c r="K57" s="136"/>
      <x:c r="L57" s="136"/>
      <x:c r="M57" s="136"/>
      <x:c r="N57" s="136"/>
      <x:c r="O57" s="136"/>
      <x:c r="P57" s="136"/>
      <x:c r="Q57" s="136"/>
      <x:c r="R57" s="136"/>
      <x:c r="S57" s="136"/>
      <x:c r="T57" s="136"/>
      <x:c r="U57" s="136"/>
      <x:c r="V57" s="136"/>
      <x:c r="W57" s="136"/>
      <x:c r="X57" s="136"/>
      <x:c r="Y57" s="136"/>
      <x:c r="Z57" s="136"/>
    </x:row>
    <x:row r="58">
      <x:c r="A58" s="136"/>
      <x:c r="B58" s="136"/>
      <x:c r="C58" s="136"/>
      <x:c r="D58" s="136"/>
      <x:c r="E58" s="136"/>
      <x:c r="F58" s="136"/>
      <x:c r="G58" s="136"/>
      <x:c r="H58" s="136"/>
      <x:c r="I58" s="136"/>
      <x:c r="J58" s="136"/>
      <x:c r="K58" s="136"/>
      <x:c r="L58" s="136"/>
      <x:c r="M58" s="136"/>
      <x:c r="N58" s="136"/>
      <x:c r="O58" s="136"/>
      <x:c r="P58" s="136"/>
      <x:c r="Q58" s="136"/>
      <x:c r="R58" s="136"/>
      <x:c r="S58" s="136"/>
      <x:c r="T58" s="136"/>
      <x:c r="U58" s="136"/>
      <x:c r="V58" s="136"/>
      <x:c r="W58" s="136"/>
      <x:c r="X58" s="136"/>
      <x:c r="Y58" s="136"/>
      <x:c r="Z58" s="136"/>
    </x:row>
    <x:row r="59">
      <x:c r="A59" s="136"/>
      <x:c r="B59" s="136"/>
      <x:c r="C59" s="136"/>
      <x:c r="D59" s="136"/>
      <x:c r="E59" s="136"/>
      <x:c r="F59" s="136"/>
      <x:c r="G59" s="136"/>
      <x:c r="H59" s="136"/>
      <x:c r="I59" s="136"/>
      <x:c r="J59" s="136"/>
      <x:c r="K59" s="136"/>
      <x:c r="L59" s="136"/>
      <x:c r="M59" s="136"/>
      <x:c r="N59" s="136"/>
      <x:c r="O59" s="136"/>
      <x:c r="P59" s="136"/>
      <x:c r="Q59" s="136"/>
      <x:c r="R59" s="136"/>
      <x:c r="S59" s="136"/>
      <x:c r="T59" s="136"/>
      <x:c r="U59" s="136"/>
      <x:c r="V59" s="136"/>
      <x:c r="W59" s="136"/>
      <x:c r="X59" s="136"/>
      <x:c r="Y59" s="136"/>
      <x:c r="Z59" s="136"/>
    </x:row>
    <x:row r="60">
      <x:c r="A60" s="136"/>
      <x:c r="B60" s="136"/>
      <x:c r="C60" s="136"/>
      <x:c r="D60" s="136"/>
      <x:c r="E60" s="136"/>
      <x:c r="F60" s="136"/>
      <x:c r="G60" s="136"/>
      <x:c r="H60" s="136"/>
      <x:c r="I60" s="136"/>
      <x:c r="J60" s="136"/>
      <x:c r="K60" s="136"/>
      <x:c r="L60" s="136"/>
      <x:c r="M60" s="136"/>
      <x:c r="N60" s="136"/>
      <x:c r="O60" s="136"/>
      <x:c r="P60" s="136"/>
      <x:c r="Q60" s="136"/>
      <x:c r="R60" s="136"/>
      <x:c r="S60" s="136"/>
      <x:c r="T60" s="136"/>
      <x:c r="U60" s="136"/>
      <x:c r="V60" s="136"/>
      <x:c r="W60" s="136"/>
      <x:c r="X60" s="136"/>
      <x:c r="Y60" s="136"/>
      <x:c r="Z60" s="136"/>
    </x:row>
    <x:row r="61">
      <x:c r="A61" s="136"/>
      <x:c r="B61" s="136"/>
      <x:c r="C61" s="136"/>
      <x:c r="D61" s="136"/>
      <x:c r="E61" s="136"/>
      <x:c r="F61" s="136"/>
      <x:c r="G61" s="136"/>
      <x:c r="H61" s="136"/>
      <x:c r="I61" s="136"/>
      <x:c r="J61" s="136"/>
      <x:c r="K61" s="136"/>
      <x:c r="L61" s="136"/>
      <x:c r="M61" s="136"/>
      <x:c r="N61" s="136"/>
      <x:c r="O61" s="136"/>
      <x:c r="P61" s="136"/>
      <x:c r="Q61" s="136"/>
      <x:c r="R61" s="136"/>
      <x:c r="S61" s="136"/>
      <x:c r="T61" s="136"/>
      <x:c r="U61" s="136"/>
      <x:c r="V61" s="136"/>
      <x:c r="W61" s="136"/>
      <x:c r="X61" s="136"/>
      <x:c r="Y61" s="136"/>
      <x:c r="Z61" s="136"/>
    </x:row>
    <x:row r="62">
      <x:c r="A62" s="136"/>
      <x:c r="B62" s="136"/>
      <x:c r="C62" s="136"/>
      <x:c r="D62" s="136"/>
      <x:c r="E62" s="136"/>
      <x:c r="F62" s="136"/>
      <x:c r="G62" s="136"/>
      <x:c r="H62" s="136"/>
      <x:c r="I62" s="136"/>
      <x:c r="J62" s="136"/>
      <x:c r="K62" s="136"/>
      <x:c r="L62" s="136"/>
      <x:c r="M62" s="136"/>
      <x:c r="N62" s="136"/>
      <x:c r="O62" s="136"/>
      <x:c r="P62" s="136"/>
      <x:c r="Q62" s="136"/>
      <x:c r="R62" s="136"/>
      <x:c r="S62" s="136"/>
      <x:c r="T62" s="136"/>
      <x:c r="U62" s="136"/>
      <x:c r="V62" s="136"/>
      <x:c r="W62" s="136"/>
      <x:c r="X62" s="136"/>
      <x:c r="Y62" s="136"/>
      <x:c r="Z62" s="136"/>
    </x:row>
    <x:row r="63">
      <x:c r="A63" s="136"/>
      <x:c r="B63" s="136"/>
      <x:c r="C63" s="136"/>
      <x:c r="D63" s="136"/>
      <x:c r="E63" s="136"/>
      <x:c r="F63" s="136"/>
      <x:c r="G63" s="136"/>
      <x:c r="H63" s="136"/>
      <x:c r="I63" s="136"/>
      <x:c r="J63" s="136"/>
      <x:c r="K63" s="136"/>
      <x:c r="L63" s="136"/>
      <x:c r="M63" s="136"/>
      <x:c r="N63" s="136"/>
      <x:c r="O63" s="136"/>
      <x:c r="P63" s="136"/>
      <x:c r="Q63" s="136"/>
      <x:c r="R63" s="136"/>
      <x:c r="S63" s="136"/>
      <x:c r="T63" s="136"/>
      <x:c r="U63" s="136"/>
      <x:c r="V63" s="136"/>
      <x:c r="W63" s="136"/>
      <x:c r="X63" s="136"/>
      <x:c r="Y63" s="136"/>
      <x:c r="Z63" s="136"/>
    </x:row>
    <x:row r="64">
      <x:c r="A64" s="136"/>
      <x:c r="B64" s="136"/>
      <x:c r="C64" s="136"/>
      <x:c r="D64" s="136"/>
      <x:c r="E64" s="136"/>
      <x:c r="F64" s="136"/>
      <x:c r="G64" s="136"/>
      <x:c r="H64" s="136"/>
      <x:c r="I64" s="136"/>
      <x:c r="J64" s="136"/>
      <x:c r="K64" s="136"/>
      <x:c r="L64" s="136"/>
      <x:c r="M64" s="136"/>
      <x:c r="N64" s="136"/>
      <x:c r="O64" s="136"/>
      <x:c r="P64" s="136"/>
      <x:c r="Q64" s="136"/>
      <x:c r="R64" s="136"/>
      <x:c r="S64" s="136"/>
      <x:c r="T64" s="136"/>
      <x:c r="U64" s="136"/>
      <x:c r="V64" s="136"/>
      <x:c r="W64" s="136"/>
      <x:c r="X64" s="136"/>
      <x:c r="Y64" s="136"/>
      <x:c r="Z64" s="136"/>
    </x:row>
    <x:row r="65">
      <x:c r="A65" s="136"/>
      <x:c r="B65" s="136"/>
      <x:c r="C65" s="136"/>
      <x:c r="D65" s="136"/>
      <x:c r="E65" s="136"/>
      <x:c r="F65" s="136"/>
      <x:c r="G65" s="136"/>
      <x:c r="H65" s="136"/>
      <x:c r="I65" s="136"/>
      <x:c r="J65" s="136"/>
      <x:c r="K65" s="136"/>
      <x:c r="L65" s="136"/>
      <x:c r="M65" s="136"/>
      <x:c r="N65" s="136"/>
      <x:c r="O65" s="136"/>
      <x:c r="P65" s="136"/>
      <x:c r="Q65" s="136"/>
      <x:c r="R65" s="136"/>
      <x:c r="S65" s="136"/>
      <x:c r="T65" s="136"/>
      <x:c r="U65" s="136"/>
      <x:c r="V65" s="136"/>
      <x:c r="W65" s="136"/>
      <x:c r="X65" s="136"/>
      <x:c r="Y65" s="136"/>
      <x:c r="Z65" s="136"/>
    </x:row>
    <x:row r="66">
      <x:c r="A66" s="136"/>
      <x:c r="B66" s="136"/>
      <x:c r="C66" s="136"/>
      <x:c r="D66" s="136"/>
      <x:c r="E66" s="136"/>
      <x:c r="F66" s="136"/>
      <x:c r="G66" s="136"/>
      <x:c r="H66" s="136"/>
      <x:c r="I66" s="136"/>
      <x:c r="J66" s="136"/>
      <x:c r="K66" s="136"/>
      <x:c r="L66" s="136"/>
      <x:c r="M66" s="136"/>
      <x:c r="N66" s="136"/>
      <x:c r="O66" s="136"/>
      <x:c r="P66" s="136"/>
      <x:c r="Q66" s="136"/>
      <x:c r="R66" s="136"/>
      <x:c r="S66" s="136"/>
      <x:c r="T66" s="136"/>
      <x:c r="U66" s="136"/>
      <x:c r="V66" s="136"/>
      <x:c r="W66" s="136"/>
      <x:c r="X66" s="136"/>
      <x:c r="Y66" s="136"/>
      <x:c r="Z66" s="136"/>
    </x:row>
    <x:row r="67">
      <x:c r="A67" s="136"/>
      <x:c r="B67" s="136"/>
      <x:c r="C67" s="136"/>
      <x:c r="D67" s="136"/>
      <x:c r="E67" s="136"/>
      <x:c r="F67" s="136"/>
      <x:c r="G67" s="136"/>
      <x:c r="H67" s="136"/>
      <x:c r="I67" s="136"/>
      <x:c r="J67" s="136"/>
      <x:c r="K67" s="136"/>
      <x:c r="L67" s="136"/>
      <x:c r="M67" s="136"/>
      <x:c r="N67" s="136"/>
      <x:c r="O67" s="136"/>
      <x:c r="P67" s="136"/>
      <x:c r="Q67" s="136"/>
      <x:c r="R67" s="136"/>
      <x:c r="S67" s="136"/>
      <x:c r="T67" s="136"/>
      <x:c r="U67" s="136"/>
      <x:c r="V67" s="136"/>
      <x:c r="W67" s="136"/>
      <x:c r="X67" s="136"/>
      <x:c r="Y67" s="136"/>
      <x:c r="Z67" s="136"/>
    </x:row>
    <x:row r="68">
      <x:c r="A68" s="136"/>
      <x:c r="B68" s="136"/>
      <x:c r="C68" s="136"/>
      <x:c r="D68" s="136"/>
      <x:c r="E68" s="136"/>
      <x:c r="F68" s="136"/>
      <x:c r="G68" s="136"/>
      <x:c r="H68" s="136"/>
      <x:c r="I68" s="136"/>
      <x:c r="J68" s="136"/>
      <x:c r="K68" s="136"/>
      <x:c r="L68" s="136"/>
      <x:c r="M68" s="136"/>
      <x:c r="N68" s="136"/>
      <x:c r="O68" s="136"/>
      <x:c r="P68" s="136"/>
      <x:c r="Q68" s="136"/>
      <x:c r="R68" s="136"/>
      <x:c r="S68" s="136"/>
      <x:c r="T68" s="136"/>
      <x:c r="U68" s="136"/>
      <x:c r="V68" s="136"/>
      <x:c r="W68" s="136"/>
      <x:c r="X68" s="136"/>
      <x:c r="Y68" s="136"/>
      <x:c r="Z68" s="136"/>
    </x:row>
    <x:row r="69">
      <x:c r="A69" s="136"/>
      <x:c r="B69" s="136"/>
      <x:c r="C69" s="136"/>
      <x:c r="D69" s="136"/>
      <x:c r="E69" s="136"/>
      <x:c r="F69" s="136"/>
      <x:c r="G69" s="136"/>
      <x:c r="H69" s="136"/>
      <x:c r="I69" s="136"/>
      <x:c r="J69" s="136"/>
      <x:c r="K69" s="136"/>
      <x:c r="L69" s="136"/>
      <x:c r="M69" s="136"/>
      <x:c r="N69" s="136"/>
      <x:c r="O69" s="136"/>
      <x:c r="P69" s="136"/>
      <x:c r="Q69" s="136"/>
      <x:c r="R69" s="136"/>
      <x:c r="S69" s="136"/>
      <x:c r="T69" s="136"/>
      <x:c r="U69" s="136"/>
      <x:c r="V69" s="136"/>
      <x:c r="W69" s="136"/>
      <x:c r="X69" s="136"/>
      <x:c r="Y69" s="136"/>
      <x:c r="Z69" s="136"/>
    </x:row>
    <x:row r="70">
      <x:c r="A70" s="136"/>
      <x:c r="B70" s="136"/>
      <x:c r="C70" s="136"/>
      <x:c r="D70" s="136"/>
      <x:c r="E70" s="136"/>
      <x:c r="F70" s="136"/>
      <x:c r="G70" s="136"/>
      <x:c r="H70" s="136"/>
      <x:c r="I70" s="136"/>
      <x:c r="J70" s="136"/>
      <x:c r="K70" s="136"/>
      <x:c r="L70" s="136"/>
      <x:c r="M70" s="136"/>
      <x:c r="N70" s="136"/>
      <x:c r="O70" s="136"/>
      <x:c r="P70" s="136"/>
      <x:c r="Q70" s="136"/>
      <x:c r="R70" s="136"/>
      <x:c r="S70" s="136"/>
      <x:c r="T70" s="136"/>
      <x:c r="U70" s="136"/>
      <x:c r="V70" s="136"/>
      <x:c r="W70" s="136"/>
      <x:c r="X70" s="136"/>
      <x:c r="Y70" s="136"/>
      <x:c r="Z70" s="136"/>
    </x:row>
    <x:row r="71">
      <x:c r="A71" s="136"/>
      <x:c r="B71" s="136"/>
      <x:c r="C71" s="136"/>
      <x:c r="D71" s="136"/>
      <x:c r="E71" s="136"/>
      <x:c r="F71" s="136"/>
      <x:c r="G71" s="136"/>
      <x:c r="H71" s="136"/>
      <x:c r="I71" s="136"/>
      <x:c r="J71" s="136"/>
      <x:c r="K71" s="136"/>
      <x:c r="L71" s="136"/>
      <x:c r="M71" s="136"/>
      <x:c r="N71" s="136"/>
      <x:c r="O71" s="136"/>
      <x:c r="P71" s="136"/>
      <x:c r="Q71" s="136"/>
      <x:c r="R71" s="136"/>
      <x:c r="S71" s="136"/>
      <x:c r="T71" s="136"/>
      <x:c r="U71" s="136"/>
      <x:c r="V71" s="136"/>
      <x:c r="W71" s="136"/>
      <x:c r="X71" s="136"/>
      <x:c r="Y71" s="136"/>
      <x:c r="Z71" s="136"/>
    </x:row>
    <x:row r="72">
      <x:c r="A72" s="136"/>
      <x:c r="B72" s="136"/>
      <x:c r="C72" s="136"/>
      <x:c r="D72" s="136"/>
      <x:c r="E72" s="136"/>
      <x:c r="F72" s="136"/>
      <x:c r="G72" s="136"/>
      <x:c r="H72" s="136"/>
      <x:c r="I72" s="136"/>
      <x:c r="J72" s="136"/>
      <x:c r="K72" s="136"/>
      <x:c r="L72" s="136"/>
      <x:c r="M72" s="136"/>
      <x:c r="N72" s="136"/>
      <x:c r="O72" s="136"/>
      <x:c r="P72" s="136"/>
      <x:c r="Q72" s="136"/>
      <x:c r="R72" s="136"/>
      <x:c r="S72" s="136"/>
      <x:c r="T72" s="136"/>
      <x:c r="U72" s="136"/>
      <x:c r="V72" s="136"/>
      <x:c r="W72" s="136"/>
      <x:c r="X72" s="136"/>
      <x:c r="Y72" s="136"/>
      <x:c r="Z72" s="136"/>
    </x:row>
    <x:row r="73">
      <x:c r="A73" s="136"/>
      <x:c r="B73" s="136"/>
      <x:c r="C73" s="136"/>
      <x:c r="D73" s="136"/>
      <x:c r="E73" s="136"/>
      <x:c r="F73" s="136"/>
      <x:c r="G73" s="136"/>
      <x:c r="H73" s="136"/>
      <x:c r="I73" s="136"/>
      <x:c r="J73" s="136"/>
      <x:c r="K73" s="136"/>
      <x:c r="L73" s="136"/>
      <x:c r="M73" s="136"/>
      <x:c r="N73" s="136"/>
      <x:c r="O73" s="136"/>
      <x:c r="P73" s="136"/>
      <x:c r="Q73" s="136"/>
      <x:c r="R73" s="136"/>
      <x:c r="S73" s="136"/>
      <x:c r="T73" s="136"/>
      <x:c r="U73" s="136"/>
      <x:c r="V73" s="136"/>
      <x:c r="W73" s="136"/>
      <x:c r="X73" s="136"/>
      <x:c r="Y73" s="136"/>
      <x:c r="Z73" s="136"/>
    </x:row>
    <x:row r="74">
      <x:c r="A74" s="136"/>
      <x:c r="B74" s="136"/>
      <x:c r="C74" s="136"/>
      <x:c r="D74" s="136"/>
      <x:c r="E74" s="136"/>
      <x:c r="F74" s="136"/>
      <x:c r="G74" s="136"/>
      <x:c r="H74" s="136"/>
      <x:c r="I74" s="136"/>
      <x:c r="J74" s="136"/>
      <x:c r="K74" s="136"/>
      <x:c r="L74" s="136"/>
      <x:c r="M74" s="136"/>
      <x:c r="N74" s="136"/>
      <x:c r="O74" s="136"/>
      <x:c r="P74" s="136"/>
      <x:c r="Q74" s="136"/>
      <x:c r="R74" s="136"/>
      <x:c r="S74" s="136"/>
      <x:c r="T74" s="136"/>
      <x:c r="U74" s="136"/>
      <x:c r="V74" s="136"/>
      <x:c r="W74" s="136"/>
      <x:c r="X74" s="136"/>
      <x:c r="Y74" s="136"/>
      <x:c r="Z74" s="136"/>
    </x:row>
    <x:row r="75">
      <x:c r="A75" s="136"/>
      <x:c r="B75" s="136"/>
      <x:c r="C75" s="136"/>
      <x:c r="D75" s="136"/>
      <x:c r="E75" s="136"/>
      <x:c r="F75" s="136"/>
      <x:c r="G75" s="136"/>
      <x:c r="H75" s="136"/>
      <x:c r="I75" s="136"/>
      <x:c r="J75" s="136"/>
      <x:c r="K75" s="136"/>
      <x:c r="L75" s="136"/>
      <x:c r="M75" s="136"/>
      <x:c r="N75" s="136"/>
      <x:c r="O75" s="136"/>
      <x:c r="P75" s="136"/>
      <x:c r="Q75" s="136"/>
      <x:c r="R75" s="136"/>
      <x:c r="S75" s="136"/>
      <x:c r="T75" s="136"/>
      <x:c r="U75" s="136"/>
      <x:c r="V75" s="136"/>
      <x:c r="W75" s="136"/>
      <x:c r="X75" s="136"/>
      <x:c r="Y75" s="136"/>
      <x:c r="Z75" s="136"/>
    </x:row>
    <x:row r="76">
      <x:c r="A76" s="136"/>
      <x:c r="B76" s="136"/>
      <x:c r="C76" s="136"/>
      <x:c r="D76" s="136"/>
      <x:c r="E76" s="136"/>
      <x:c r="F76" s="136"/>
      <x:c r="G76" s="136"/>
      <x:c r="H76" s="136"/>
      <x:c r="I76" s="136"/>
      <x:c r="J76" s="136"/>
      <x:c r="K76" s="136"/>
      <x:c r="L76" s="136"/>
      <x:c r="M76" s="136"/>
      <x:c r="N76" s="136"/>
      <x:c r="O76" s="136"/>
      <x:c r="P76" s="136"/>
      <x:c r="Q76" s="136"/>
      <x:c r="R76" s="136"/>
      <x:c r="S76" s="136"/>
      <x:c r="T76" s="136"/>
      <x:c r="U76" s="136"/>
      <x:c r="V76" s="136"/>
      <x:c r="W76" s="136"/>
      <x:c r="X76" s="136"/>
      <x:c r="Y76" s="136"/>
      <x:c r="Z76" s="136"/>
    </x:row>
    <x:row r="77">
      <x:c r="A77" s="136"/>
      <x:c r="B77" s="136"/>
      <x:c r="C77" s="136"/>
      <x:c r="D77" s="136"/>
      <x:c r="E77" s="136"/>
      <x:c r="F77" s="136"/>
      <x:c r="G77" s="136"/>
      <x:c r="H77" s="136"/>
      <x:c r="I77" s="136"/>
      <x:c r="J77" s="136"/>
      <x:c r="K77" s="136"/>
      <x:c r="L77" s="136"/>
      <x:c r="M77" s="136"/>
      <x:c r="N77" s="136"/>
      <x:c r="O77" s="136"/>
      <x:c r="P77" s="136"/>
      <x:c r="Q77" s="136"/>
      <x:c r="R77" s="136"/>
      <x:c r="S77" s="136"/>
      <x:c r="T77" s="136"/>
      <x:c r="U77" s="136"/>
      <x:c r="V77" s="136"/>
      <x:c r="W77" s="136"/>
      <x:c r="X77" s="136"/>
      <x:c r="Y77" s="136"/>
      <x:c r="Z77" s="136"/>
    </x:row>
    <x:row r="78">
      <x:c r="A78" s="136"/>
      <x:c r="B78" s="136"/>
      <x:c r="C78" s="136"/>
      <x:c r="D78" s="136"/>
      <x:c r="E78" s="136"/>
      <x:c r="F78" s="136"/>
      <x:c r="G78" s="136"/>
      <x:c r="H78" s="136"/>
      <x:c r="I78" s="136"/>
      <x:c r="J78" s="136"/>
      <x:c r="K78" s="136"/>
      <x:c r="L78" s="136"/>
      <x:c r="M78" s="136"/>
      <x:c r="N78" s="136"/>
      <x:c r="O78" s="136"/>
      <x:c r="P78" s="136"/>
      <x:c r="Q78" s="136"/>
      <x:c r="R78" s="136"/>
      <x:c r="S78" s="136"/>
      <x:c r="T78" s="136"/>
      <x:c r="U78" s="136"/>
      <x:c r="V78" s="136"/>
      <x:c r="W78" s="136"/>
      <x:c r="X78" s="136"/>
      <x:c r="Y78" s="136"/>
      <x:c r="Z78" s="136"/>
    </x:row>
    <x:row r="79">
      <x:c r="A79" s="136"/>
      <x:c r="B79" s="136"/>
      <x:c r="C79" s="136"/>
      <x:c r="D79" s="136"/>
      <x:c r="E79" s="136"/>
      <x:c r="F79" s="136"/>
      <x:c r="G79" s="136"/>
      <x:c r="H79" s="136"/>
      <x:c r="I79" s="136"/>
      <x:c r="J79" s="136"/>
      <x:c r="K79" s="136"/>
      <x:c r="L79" s="136"/>
      <x:c r="M79" s="136"/>
      <x:c r="N79" s="136"/>
      <x:c r="O79" s="136"/>
      <x:c r="P79" s="136"/>
      <x:c r="Q79" s="136"/>
      <x:c r="R79" s="136"/>
      <x:c r="S79" s="136"/>
      <x:c r="T79" s="136"/>
      <x:c r="U79" s="136"/>
      <x:c r="V79" s="136"/>
      <x:c r="W79" s="136"/>
      <x:c r="X79" s="136"/>
      <x:c r="Y79" s="136"/>
      <x:c r="Z79" s="136"/>
    </x:row>
    <x:row r="80">
      <x:c r="A80" s="136"/>
      <x:c r="B80" s="136"/>
      <x:c r="C80" s="136"/>
      <x:c r="D80" s="136"/>
      <x:c r="E80" s="136"/>
      <x:c r="F80" s="136"/>
      <x:c r="G80" s="136"/>
      <x:c r="H80" s="136"/>
      <x:c r="I80" s="136"/>
      <x:c r="J80" s="136"/>
      <x:c r="K80" s="136"/>
      <x:c r="L80" s="136"/>
      <x:c r="M80" s="136"/>
      <x:c r="N80" s="136"/>
      <x:c r="O80" s="136"/>
      <x:c r="P80" s="136"/>
      <x:c r="Q80" s="136"/>
      <x:c r="R80" s="136"/>
      <x:c r="S80" s="136"/>
      <x:c r="T80" s="136"/>
      <x:c r="U80" s="136"/>
      <x:c r="V80" s="136"/>
      <x:c r="W80" s="136"/>
      <x:c r="X80" s="136"/>
      <x:c r="Y80" s="136"/>
      <x:c r="Z80" s="136"/>
    </x:row>
    <x:row r="81">
      <x:c r="A81" s="136"/>
      <x:c r="B81" s="136"/>
      <x:c r="C81" s="136"/>
      <x:c r="D81" s="136"/>
      <x:c r="E81" s="136"/>
      <x:c r="F81" s="136"/>
      <x:c r="G81" s="136"/>
      <x:c r="H81" s="136"/>
      <x:c r="I81" s="136"/>
      <x:c r="J81" s="136"/>
      <x:c r="K81" s="136"/>
      <x:c r="L81" s="136"/>
      <x:c r="M81" s="136"/>
      <x:c r="N81" s="136"/>
      <x:c r="O81" s="136"/>
      <x:c r="P81" s="136"/>
      <x:c r="Q81" s="136"/>
      <x:c r="R81" s="136"/>
      <x:c r="S81" s="136"/>
      <x:c r="T81" s="136"/>
      <x:c r="U81" s="136"/>
      <x:c r="V81" s="136"/>
      <x:c r="W81" s="136"/>
      <x:c r="X81" s="136"/>
      <x:c r="Y81" s="136"/>
      <x:c r="Z81" s="136"/>
    </x:row>
    <x:row r="82">
      <x:c r="A82" s="136"/>
      <x:c r="B82" s="136"/>
      <x:c r="C82" s="136"/>
      <x:c r="D82" s="136"/>
      <x:c r="E82" s="136"/>
      <x:c r="F82" s="136"/>
      <x:c r="G82" s="136"/>
      <x:c r="H82" s="136"/>
      <x:c r="I82" s="136"/>
      <x:c r="J82" s="136"/>
      <x:c r="K82" s="136"/>
      <x:c r="L82" s="136"/>
      <x:c r="M82" s="136"/>
      <x:c r="N82" s="136"/>
      <x:c r="O82" s="136"/>
      <x:c r="P82" s="136"/>
      <x:c r="Q82" s="136"/>
      <x:c r="R82" s="136"/>
      <x:c r="S82" s="136"/>
      <x:c r="T82" s="136"/>
      <x:c r="U82" s="136"/>
      <x:c r="V82" s="136"/>
      <x:c r="W82" s="136"/>
      <x:c r="X82" s="136"/>
      <x:c r="Y82" s="136"/>
      <x:c r="Z82" s="136"/>
    </x:row>
    <x:row r="83">
      <x:c r="A83" s="136"/>
      <x:c r="B83" s="136"/>
      <x:c r="C83" s="136"/>
      <x:c r="D83" s="136"/>
      <x:c r="E83" s="136"/>
      <x:c r="F83" s="136"/>
      <x:c r="G83" s="136"/>
      <x:c r="H83" s="136"/>
      <x:c r="I83" s="136"/>
      <x:c r="J83" s="136"/>
      <x:c r="K83" s="136"/>
      <x:c r="L83" s="136"/>
      <x:c r="M83" s="136"/>
      <x:c r="N83" s="136"/>
      <x:c r="O83" s="136"/>
      <x:c r="P83" s="136"/>
      <x:c r="Q83" s="136"/>
      <x:c r="R83" s="136"/>
      <x:c r="S83" s="136"/>
      <x:c r="T83" s="136"/>
      <x:c r="U83" s="136"/>
      <x:c r="V83" s="136"/>
      <x:c r="W83" s="136"/>
      <x:c r="X83" s="136"/>
      <x:c r="Y83" s="136"/>
      <x:c r="Z83" s="136"/>
    </x:row>
    <x:row r="84">
      <x:c r="A84" s="136"/>
      <x:c r="B84" s="136"/>
      <x:c r="C84" s="136"/>
      <x:c r="D84" s="136"/>
      <x:c r="E84" s="136"/>
      <x:c r="F84" s="136"/>
      <x:c r="G84" s="136"/>
      <x:c r="H84" s="136"/>
      <x:c r="I84" s="136"/>
      <x:c r="J84" s="136"/>
      <x:c r="K84" s="136"/>
      <x:c r="L84" s="136"/>
      <x:c r="M84" s="136"/>
      <x:c r="N84" s="136"/>
      <x:c r="O84" s="136"/>
      <x:c r="P84" s="136"/>
      <x:c r="Q84" s="136"/>
      <x:c r="R84" s="136"/>
      <x:c r="S84" s="136"/>
      <x:c r="T84" s="136"/>
      <x:c r="U84" s="136"/>
      <x:c r="V84" s="136"/>
      <x:c r="W84" s="136"/>
      <x:c r="X84" s="136"/>
      <x:c r="Y84" s="136"/>
      <x:c r="Z84" s="136"/>
    </x:row>
    <x:row r="85">
      <x:c r="A85" s="136"/>
      <x:c r="B85" s="136"/>
      <x:c r="C85" s="136"/>
      <x:c r="D85" s="136"/>
      <x:c r="E85" s="136"/>
      <x:c r="F85" s="136"/>
      <x:c r="G85" s="136"/>
      <x:c r="H85" s="136"/>
      <x:c r="I85" s="136"/>
      <x:c r="J85" s="136"/>
      <x:c r="K85" s="136"/>
      <x:c r="L85" s="136"/>
      <x:c r="M85" s="136"/>
      <x:c r="N85" s="136"/>
      <x:c r="O85" s="136"/>
      <x:c r="P85" s="136"/>
      <x:c r="Q85" s="136"/>
      <x:c r="R85" s="136"/>
      <x:c r="S85" s="136"/>
      <x:c r="T85" s="136"/>
      <x:c r="U85" s="136"/>
      <x:c r="V85" s="136"/>
      <x:c r="W85" s="136"/>
      <x:c r="X85" s="136"/>
      <x:c r="Y85" s="136"/>
      <x:c r="Z85" s="136"/>
    </x:row>
    <x:row r="86">
      <x:c r="A86" s="136"/>
      <x:c r="B86" s="136"/>
      <x:c r="C86" s="136"/>
      <x:c r="D86" s="136"/>
      <x:c r="E86" s="136"/>
      <x:c r="F86" s="136"/>
      <x:c r="G86" s="136"/>
      <x:c r="H86" s="136"/>
      <x:c r="I86" s="136"/>
      <x:c r="J86" s="136"/>
      <x:c r="K86" s="136"/>
      <x:c r="L86" s="136"/>
      <x:c r="M86" s="136"/>
      <x:c r="N86" s="136"/>
      <x:c r="O86" s="136"/>
      <x:c r="P86" s="136"/>
      <x:c r="Q86" s="136"/>
      <x:c r="R86" s="136"/>
      <x:c r="S86" s="136"/>
      <x:c r="T86" s="136"/>
      <x:c r="U86" s="136"/>
      <x:c r="V86" s="136"/>
      <x:c r="W86" s="136"/>
      <x:c r="X86" s="136"/>
      <x:c r="Y86" s="136"/>
      <x:c r="Z86" s="136"/>
    </x:row>
    <x:row r="87">
      <x:c r="A87" s="136"/>
      <x:c r="B87" s="136"/>
      <x:c r="C87" s="136"/>
      <x:c r="D87" s="136"/>
      <x:c r="E87" s="136"/>
      <x:c r="F87" s="136"/>
      <x:c r="G87" s="136"/>
      <x:c r="H87" s="136"/>
      <x:c r="I87" s="136"/>
      <x:c r="J87" s="136"/>
      <x:c r="K87" s="136"/>
      <x:c r="L87" s="136"/>
      <x:c r="M87" s="136"/>
      <x:c r="N87" s="136"/>
      <x:c r="O87" s="136"/>
      <x:c r="P87" s="136"/>
      <x:c r="Q87" s="136"/>
      <x:c r="R87" s="136"/>
      <x:c r="S87" s="136"/>
      <x:c r="T87" s="136"/>
      <x:c r="U87" s="136"/>
      <x:c r="V87" s="136"/>
      <x:c r="W87" s="136"/>
      <x:c r="X87" s="136"/>
      <x:c r="Y87" s="136"/>
      <x:c r="Z87" s="136"/>
    </x:row>
    <x:row r="88">
      <x:c r="A88" s="136"/>
      <x:c r="B88" s="136"/>
      <x:c r="C88" s="136"/>
      <x:c r="D88" s="136"/>
      <x:c r="E88" s="136"/>
      <x:c r="F88" s="136"/>
      <x:c r="G88" s="136"/>
      <x:c r="H88" s="136"/>
      <x:c r="I88" s="136"/>
      <x:c r="J88" s="136"/>
      <x:c r="K88" s="136"/>
      <x:c r="L88" s="136"/>
      <x:c r="M88" s="136"/>
      <x:c r="N88" s="136"/>
      <x:c r="O88" s="136"/>
      <x:c r="P88" s="136"/>
      <x:c r="Q88" s="136"/>
      <x:c r="R88" s="136"/>
      <x:c r="S88" s="136"/>
      <x:c r="T88" s="136"/>
      <x:c r="U88" s="136"/>
      <x:c r="V88" s="136"/>
      <x:c r="W88" s="136"/>
      <x:c r="X88" s="136"/>
      <x:c r="Y88" s="136"/>
      <x:c r="Z88" s="136"/>
    </x:row>
    <x:row r="89">
      <x:c r="A89" s="136"/>
      <x:c r="B89" s="136"/>
      <x:c r="C89" s="136"/>
      <x:c r="D89" s="136"/>
      <x:c r="E89" s="136"/>
      <x:c r="F89" s="136"/>
      <x:c r="G89" s="136"/>
      <x:c r="H89" s="136"/>
      <x:c r="I89" s="136"/>
      <x:c r="J89" s="136"/>
      <x:c r="K89" s="136"/>
      <x:c r="L89" s="136"/>
      <x:c r="M89" s="136"/>
      <x:c r="N89" s="136"/>
      <x:c r="O89" s="136"/>
      <x:c r="P89" s="136"/>
      <x:c r="Q89" s="136"/>
      <x:c r="R89" s="136"/>
      <x:c r="S89" s="136"/>
      <x:c r="T89" s="136"/>
      <x:c r="U89" s="136"/>
      <x:c r="V89" s="136"/>
      <x:c r="W89" s="136"/>
      <x:c r="X89" s="136"/>
      <x:c r="Y89" s="136"/>
      <x:c r="Z89" s="136"/>
    </x:row>
    <x:row r="90">
      <x:c r="A90" s="136"/>
      <x:c r="B90" s="136"/>
      <x:c r="C90" s="136"/>
      <x:c r="D90" s="136"/>
      <x:c r="E90" s="136"/>
      <x:c r="F90" s="136"/>
      <x:c r="G90" s="136"/>
      <x:c r="H90" s="136"/>
      <x:c r="I90" s="136"/>
      <x:c r="J90" s="136"/>
      <x:c r="K90" s="136"/>
      <x:c r="L90" s="136"/>
      <x:c r="M90" s="136"/>
      <x:c r="N90" s="136"/>
      <x:c r="O90" s="136"/>
      <x:c r="P90" s="136"/>
      <x:c r="Q90" s="136"/>
      <x:c r="R90" s="136"/>
      <x:c r="S90" s="136"/>
      <x:c r="T90" s="136"/>
      <x:c r="U90" s="136"/>
      <x:c r="V90" s="136"/>
      <x:c r="W90" s="136"/>
      <x:c r="X90" s="136"/>
      <x:c r="Y90" s="136"/>
      <x:c r="Z90" s="136"/>
    </x:row>
    <x:row r="91">
      <x:c r="A91" s="136"/>
      <x:c r="B91" s="136"/>
      <x:c r="C91" s="136"/>
      <x:c r="D91" s="136"/>
      <x:c r="E91" s="136"/>
      <x:c r="F91" s="136"/>
      <x:c r="G91" s="136"/>
      <x:c r="H91" s="136"/>
      <x:c r="I91" s="136"/>
      <x:c r="J91" s="136"/>
      <x:c r="K91" s="136"/>
      <x:c r="L91" s="136"/>
      <x:c r="M91" s="136"/>
      <x:c r="N91" s="136"/>
      <x:c r="O91" s="136"/>
      <x:c r="P91" s="136"/>
      <x:c r="Q91" s="136"/>
      <x:c r="R91" s="136"/>
      <x:c r="S91" s="136"/>
      <x:c r="T91" s="136"/>
      <x:c r="U91" s="136"/>
      <x:c r="V91" s="136"/>
      <x:c r="W91" s="136"/>
      <x:c r="X91" s="136"/>
      <x:c r="Y91" s="136"/>
      <x:c r="Z91" s="136"/>
    </x:row>
    <x:row r="92">
      <x:c r="A92" s="136"/>
      <x:c r="B92" s="136"/>
      <x:c r="C92" s="136"/>
      <x:c r="D92" s="136"/>
      <x:c r="E92" s="136"/>
      <x:c r="F92" s="136"/>
      <x:c r="G92" s="136"/>
      <x:c r="H92" s="136"/>
      <x:c r="I92" s="136"/>
      <x:c r="J92" s="136"/>
      <x:c r="K92" s="136"/>
      <x:c r="L92" s="136"/>
      <x:c r="M92" s="136"/>
      <x:c r="N92" s="136"/>
      <x:c r="O92" s="136"/>
      <x:c r="P92" s="136"/>
      <x:c r="Q92" s="136"/>
      <x:c r="R92" s="136"/>
      <x:c r="S92" s="136"/>
      <x:c r="T92" s="136"/>
      <x:c r="U92" s="136"/>
      <x:c r="V92" s="136"/>
      <x:c r="W92" s="136"/>
      <x:c r="X92" s="136"/>
      <x:c r="Y92" s="136"/>
      <x:c r="Z92" s="136"/>
    </x:row>
    <x:row r="93">
      <x:c r="A93" s="136"/>
      <x:c r="B93" s="136"/>
      <x:c r="C93" s="136"/>
      <x:c r="D93" s="136"/>
      <x:c r="E93" s="136"/>
      <x:c r="F93" s="136"/>
      <x:c r="G93" s="136"/>
      <x:c r="H93" s="136"/>
      <x:c r="I93" s="136"/>
      <x:c r="J93" s="136"/>
      <x:c r="K93" s="136"/>
      <x:c r="L93" s="136"/>
      <x:c r="M93" s="136"/>
      <x:c r="N93" s="136"/>
      <x:c r="O93" s="136"/>
      <x:c r="P93" s="136"/>
      <x:c r="Q93" s="136"/>
      <x:c r="R93" s="136"/>
      <x:c r="S93" s="136"/>
      <x:c r="T93" s="136"/>
      <x:c r="U93" s="136"/>
      <x:c r="V93" s="136"/>
      <x:c r="W93" s="136"/>
      <x:c r="X93" s="136"/>
      <x:c r="Y93" s="136"/>
      <x:c r="Z93" s="136"/>
    </x:row>
    <x:row r="94">
      <x:c r="A94" s="136"/>
      <x:c r="B94" s="136"/>
      <x:c r="C94" s="136"/>
      <x:c r="D94" s="136"/>
      <x:c r="E94" s="136"/>
      <x:c r="F94" s="136"/>
      <x:c r="G94" s="136"/>
      <x:c r="H94" s="136"/>
      <x:c r="I94" s="136"/>
      <x:c r="J94" s="136"/>
      <x:c r="K94" s="136"/>
      <x:c r="L94" s="136"/>
      <x:c r="M94" s="136"/>
      <x:c r="N94" s="136"/>
      <x:c r="O94" s="136"/>
      <x:c r="P94" s="136"/>
      <x:c r="Q94" s="136"/>
      <x:c r="R94" s="136"/>
      <x:c r="S94" s="136"/>
      <x:c r="T94" s="136"/>
      <x:c r="U94" s="136"/>
      <x:c r="V94" s="136"/>
      <x:c r="W94" s="136"/>
      <x:c r="X94" s="136"/>
      <x:c r="Y94" s="136"/>
      <x:c r="Z94" s="136"/>
    </x:row>
    <x:row r="95">
      <x:c r="A95" s="136"/>
      <x:c r="B95" s="136"/>
      <x:c r="C95" s="136"/>
      <x:c r="D95" s="136"/>
      <x:c r="E95" s="136"/>
      <x:c r="F95" s="136"/>
      <x:c r="G95" s="136"/>
      <x:c r="H95" s="136"/>
      <x:c r="I95" s="136"/>
      <x:c r="J95" s="136"/>
      <x:c r="K95" s="136"/>
      <x:c r="L95" s="136"/>
      <x:c r="M95" s="136"/>
      <x:c r="N95" s="136"/>
      <x:c r="O95" s="136"/>
      <x:c r="P95" s="136"/>
      <x:c r="Q95" s="136"/>
      <x:c r="R95" s="136"/>
      <x:c r="S95" s="136"/>
      <x:c r="T95" s="136"/>
      <x:c r="U95" s="136"/>
      <x:c r="V95" s="136"/>
      <x:c r="W95" s="136"/>
      <x:c r="X95" s="136"/>
      <x:c r="Y95" s="136"/>
      <x:c r="Z95" s="136"/>
    </x:row>
    <x:row r="96">
      <x:c r="A96" s="136"/>
      <x:c r="B96" s="136"/>
      <x:c r="C96" s="136"/>
      <x:c r="D96" s="136"/>
      <x:c r="E96" s="136"/>
      <x:c r="F96" s="136"/>
      <x:c r="G96" s="136"/>
      <x:c r="H96" s="136"/>
      <x:c r="I96" s="136"/>
      <x:c r="J96" s="136"/>
      <x:c r="K96" s="136"/>
      <x:c r="L96" s="136"/>
      <x:c r="M96" s="136"/>
      <x:c r="N96" s="136"/>
      <x:c r="O96" s="136"/>
      <x:c r="P96" s="136"/>
      <x:c r="Q96" s="136"/>
      <x:c r="R96" s="136"/>
      <x:c r="S96" s="136"/>
      <x:c r="T96" s="136"/>
      <x:c r="U96" s="136"/>
      <x:c r="V96" s="136"/>
      <x:c r="W96" s="136"/>
      <x:c r="X96" s="136"/>
      <x:c r="Y96" s="136"/>
      <x:c r="Z96" s="136"/>
    </x:row>
    <x:row r="97">
      <x:c r="A97" s="136"/>
      <x:c r="B97" s="136"/>
      <x:c r="C97" s="136"/>
      <x:c r="D97" s="136"/>
      <x:c r="E97" s="136"/>
      <x:c r="F97" s="136"/>
      <x:c r="G97" s="136"/>
      <x:c r="H97" s="136"/>
      <x:c r="I97" s="136"/>
      <x:c r="J97" s="136"/>
      <x:c r="K97" s="136"/>
      <x:c r="L97" s="136"/>
      <x:c r="M97" s="136"/>
      <x:c r="N97" s="136"/>
      <x:c r="O97" s="136"/>
      <x:c r="P97" s="136"/>
      <x:c r="Q97" s="136"/>
      <x:c r="R97" s="136"/>
      <x:c r="S97" s="136"/>
      <x:c r="T97" s="136"/>
      <x:c r="U97" s="136"/>
      <x:c r="V97" s="136"/>
      <x:c r="W97" s="136"/>
      <x:c r="X97" s="136"/>
      <x:c r="Y97" s="136"/>
      <x:c r="Z97" s="136"/>
    </x:row>
    <x:row r="98">
      <x:c r="A98" s="136"/>
      <x:c r="B98" s="136"/>
      <x:c r="C98" s="136"/>
      <x:c r="D98" s="136"/>
      <x:c r="E98" s="136"/>
      <x:c r="F98" s="136"/>
      <x:c r="G98" s="136"/>
      <x:c r="H98" s="136"/>
      <x:c r="I98" s="136"/>
      <x:c r="J98" s="136"/>
      <x:c r="K98" s="136"/>
      <x:c r="L98" s="136"/>
      <x:c r="M98" s="136"/>
      <x:c r="N98" s="136"/>
      <x:c r="O98" s="136"/>
      <x:c r="P98" s="136"/>
      <x:c r="Q98" s="136"/>
      <x:c r="R98" s="136"/>
      <x:c r="S98" s="136"/>
      <x:c r="T98" s="136"/>
      <x:c r="U98" s="136"/>
      <x:c r="V98" s="136"/>
      <x:c r="W98" s="136"/>
      <x:c r="X98" s="136"/>
      <x:c r="Y98" s="136"/>
      <x:c r="Z98" s="136"/>
    </x:row>
    <x:row r="99">
      <x:c r="A99" s="136"/>
      <x:c r="B99" s="136"/>
      <x:c r="C99" s="136"/>
      <x:c r="D99" s="136"/>
      <x:c r="E99" s="136"/>
      <x:c r="F99" s="136"/>
      <x:c r="G99" s="136"/>
      <x:c r="H99" s="136"/>
      <x:c r="I99" s="136"/>
      <x:c r="J99" s="136"/>
      <x:c r="K99" s="136"/>
      <x:c r="L99" s="136"/>
      <x:c r="M99" s="136"/>
      <x:c r="N99" s="136"/>
      <x:c r="O99" s="136"/>
      <x:c r="P99" s="136"/>
      <x:c r="Q99" s="136"/>
      <x:c r="R99" s="136"/>
      <x:c r="S99" s="136"/>
      <x:c r="T99" s="136"/>
      <x:c r="U99" s="136"/>
      <x:c r="V99" s="136"/>
      <x:c r="W99" s="136"/>
      <x:c r="X99" s="136"/>
      <x:c r="Y99" s="136"/>
      <x:c r="Z99" s="136"/>
    </x:row>
    <x:row r="100">
      <x:c r="A100" s="136"/>
      <x:c r="B100" s="136"/>
      <x:c r="C100" s="136"/>
      <x:c r="D100" s="136"/>
      <x:c r="E100" s="136"/>
      <x:c r="F100" s="136"/>
      <x:c r="G100" s="136"/>
      <x:c r="H100" s="136"/>
      <x:c r="I100" s="136"/>
      <x:c r="J100" s="136"/>
      <x:c r="K100" s="136"/>
      <x:c r="L100" s="136"/>
      <x:c r="M100" s="136"/>
      <x:c r="N100" s="136"/>
      <x:c r="O100" s="136"/>
      <x:c r="P100" s="136"/>
      <x:c r="Q100" s="136"/>
      <x:c r="R100" s="136"/>
      <x:c r="S100" s="136"/>
      <x:c r="T100" s="136"/>
      <x:c r="U100" s="136"/>
      <x:c r="V100" s="136"/>
      <x:c r="W100" s="136"/>
      <x:c r="X100" s="136"/>
      <x:c r="Y100" s="136"/>
      <x:c r="Z100" s="136"/>
    </x:row>
  </x:sheetData>
  <x:mergeCells>
    <x:mergeCell ref="A1:P1"/>
  </x:mergeCells>
  <x:conditionalFormatting sqref="J3:J100">
    <x:cfRule type="expression" dxfId="0" priority="1">
      <x:formula>$J3="Future LR1"</x:formula>
    </x:cfRule>
    <x:cfRule type="expression" dxfId="1" priority="2">
      <x:formula>$J3="Unconfirmed"</x:formula>
    </x:cfRule>
  </x:conditionalFormatting>
  <x:conditionalFormatting sqref="D3:D100">
    <x:cfRule type="expression" dxfId="2" priority="3">
      <x:formula>ISNUMBER(SEARCH("Scheduled",$D3))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d169ebaca64423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11" hidden="0" customWidth="1"/>
    <x:col min="4" max="4" width="15" hidden="0" customWidth="1"/>
    <x:col min="5" max="5" width="15" hidden="0" customWidth="1"/>
    <x:col min="6" max="6" width="15" hidden="0" customWidth="1"/>
    <x:col min="7" max="7" width="20" hidden="0" customWidth="1"/>
    <x:col min="8" max="8" width="12" hidden="0" customWidth="1"/>
    <x:col min="9" max="9" width="12" hidden="0" customWidth="1"/>
    <x:col min="10" max="10" width="42" hidden="0" customWidth="1"/>
    <x:col min="11" max="11" width="12" hidden="0" customWidth="1"/>
    <x:col min="12" max="12" width="42" hidden="0" customWidth="1"/>
  </x:cols>
  <x:sheetData>
    <x:row r="1" ht="26" customHeight="1">
      <x:c r="A1" s="4" t="str">
        <x:v>Historical Braskem Naphtha Fixture Evidence — Publicly Recoverable, Non-Exhaustive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112"/>
      <x:c r="N1" s="112"/>
      <x:c r="O1" s="112"/>
      <x:c r="P1" s="112"/>
      <x:c r="Q1" s="112"/>
      <x:c r="R1" s="112"/>
      <x:c r="S1" s="112"/>
      <x:c r="T1" s="112"/>
      <x:c r="U1" s="112"/>
      <x:c r="V1" s="112"/>
      <x:c r="W1" s="112"/>
      <x:c r="X1" s="112"/>
      <x:c r="Y1" s="112"/>
      <x:c r="Z1" s="112"/>
    </x:row>
    <x:row r="2">
      <x:c r="A2" s="12" t="str">
        <x:v>Fixture / Load Date</x:v>
      </x:c>
      <x:c r="B2" s="12" t="str">
        <x:v>Vessel</x:v>
      </x:c>
      <x:c r="C2" s="12" t="str">
        <x:v>Size (kt)</x:v>
      </x:c>
      <x:c r="D2" s="12" t="str">
        <x:v>Product</x:v>
      </x:c>
      <x:c r="E2" s="12" t="str">
        <x:v>Route</x:v>
      </x:c>
      <x:c r="F2" s="12" t="str">
        <x:v>Charterer</x:v>
      </x:c>
      <x:c r="G2" s="12" t="str">
        <x:v>Evidence Type</x:v>
      </x:c>
      <x:c r="H2" s="12" t="str">
        <x:v>Year</x:v>
      </x:c>
      <x:c r="I2" s="12" t="str">
        <x:v>Future Fleet?</x:v>
      </x:c>
      <x:c r="J2" s="12" t="str">
        <x:v>Source URL</x:v>
      </x:c>
      <x:c r="K2" s="12" t="str">
        <x:v>Confidence</x:v>
      </x:c>
      <x:c r="L2" s="12" t="str">
        <x:v>Notes</x:v>
      </x:c>
      <x:c r="M2" s="136"/>
      <x:c r="N2" s="136"/>
      <x:c r="O2" s="136"/>
      <x:c r="P2" s="136"/>
      <x:c r="Q2" s="136"/>
      <x:c r="R2" s="136"/>
      <x:c r="S2" s="136"/>
      <x:c r="T2" s="136"/>
      <x:c r="U2" s="136"/>
      <x:c r="V2" s="136"/>
      <x:c r="W2" s="136"/>
      <x:c r="X2" s="136"/>
      <x:c r="Y2" s="136"/>
      <x:c r="Z2" s="136"/>
    </x:row>
    <x:row r="3">
      <x:c r="A3" s="122" t="n">
        <x:v>45524</x:v>
      </x:c>
      <x:c r="B3" s="116" t="str">
        <x:v>ENERGY CENTAUR</x:v>
      </x:c>
      <x:c r="C3" s="123" t="n">
        <x:v>60</x:v>
      </x:c>
      <x:c r="D3" s="116" t="str">
        <x:v>Naphtha</x:v>
      </x:c>
      <x:c r="E3" s="116" t="str">
        <x:v>USGC-Brazil</x:v>
      </x:c>
      <x:c r="F3" s="116" t="str">
        <x:v>Braskem</x:v>
      </x:c>
      <x:c r="G3" s="116" t="str">
        <x:v>S&amp;P/Platts fixture</x:v>
      </x:c>
      <x:c r="H3" s="116" t="n">
        <x:v>2024</x:v>
      </x:c>
      <x:c r="I3" s="116" t="str">
        <x:v>No</x:v>
      </x:c>
      <x:c r="J3" s="171" t="str">
        <x:v>https://www.scribd.com/document/763174480/Plats-Asia-Pacific</x:v>
      </x:c>
      <x:c r="K3" s="116" t="str">
        <x:v>High</x:v>
      </x:c>
      <x:c r="L3" s="116" t="str">
        <x:v>Fixture evidence, not Brazilian port-arrival confirmation.</x:v>
      </x:c>
      <x:c r="M3" s="136"/>
      <x:c r="N3" s="136"/>
      <x:c r="O3" s="136"/>
      <x:c r="P3" s="136"/>
      <x:c r="Q3" s="136"/>
      <x:c r="R3" s="136"/>
      <x:c r="S3" s="136"/>
      <x:c r="T3" s="136"/>
      <x:c r="U3" s="136"/>
      <x:c r="V3" s="136"/>
      <x:c r="W3" s="136"/>
      <x:c r="X3" s="136"/>
      <x:c r="Y3" s="136"/>
      <x:c r="Z3" s="136"/>
    </x:row>
    <x:row r="4">
      <x:c r="A4" s="122" t="n">
        <x:v>45727</x:v>
      </x:c>
      <x:c r="B4" s="116" t="str">
        <x:v>NAVIG8 MESSI</x:v>
      </x:c>
      <x:c r="C4" s="123" t="n">
        <x:v>60</x:v>
      </x:c>
      <x:c r="D4" s="116" t="str">
        <x:v>Naphtha</x:v>
      </x:c>
      <x:c r="E4" s="116" t="str">
        <x:v>USGC-Brazil</x:v>
      </x:c>
      <x:c r="F4" s="116" t="str">
        <x:v>Braskem</x:v>
      </x:c>
      <x:c r="G4" s="116" t="str">
        <x:v>S&amp;P/Platts fixture</x:v>
      </x:c>
      <x:c r="H4" s="116" t="n">
        <x:v>2025</x:v>
      </x:c>
      <x:c r="I4" s="116" t="str">
        <x:v>No</x:v>
      </x:c>
      <x:c r="J4" s="171" t="str">
        <x:v>https://www.petropexint.com/wp-content/uploads/2025/03/APAG.20250221.pdf</x:v>
      </x:c>
      <x:c r="K4" s="116" t="str">
        <x:v>High</x:v>
      </x:c>
      <x:c r="L4" s="116" t="str">
        <x:v>CBP later recorded NAVIG8 MESSI cleared Houston for Aratu on 2025-03-15.</x:v>
      </x:c>
      <x:c r="M4" s="136"/>
      <x:c r="N4" s="136"/>
      <x:c r="O4" s="136"/>
      <x:c r="P4" s="136"/>
      <x:c r="Q4" s="136"/>
      <x:c r="R4" s="136"/>
      <x:c r="S4" s="136"/>
      <x:c r="T4" s="136"/>
      <x:c r="U4" s="136"/>
      <x:c r="V4" s="136"/>
      <x:c r="W4" s="136"/>
      <x:c r="X4" s="136"/>
      <x:c r="Y4" s="136"/>
      <x:c r="Z4" s="136"/>
    </x:row>
    <x:row r="5">
      <x:c r="A5" s="122" t="n">
        <x:v>45738</x:v>
      </x:c>
      <x:c r="B5" s="116" t="str">
        <x:v>HAFNIA EXPEDITE</x:v>
      </x:c>
      <x:c r="C5" s="123" t="n">
        <x:v>60</x:v>
      </x:c>
      <x:c r="D5" s="116" t="str">
        <x:v>Naphtha</x:v>
      </x:c>
      <x:c r="E5" s="116" t="str">
        <x:v>USGC-Brazil</x:v>
      </x:c>
      <x:c r="F5" s="116" t="str">
        <x:v>Braskem</x:v>
      </x:c>
      <x:c r="G5" s="116" t="str">
        <x:v>S&amp;P/Platts fixture</x:v>
      </x:c>
      <x:c r="H5" s="116" t="n">
        <x:v>2025</x:v>
      </x:c>
      <x:c r="I5" s="116" t="str">
        <x:v>No</x:v>
      </x:c>
      <x:c r="J5" s="171" t="str">
        <x:v>https://www.scribd.com/document/942845503/APAG-20250311</x:v>
      </x:c>
      <x:c r="K5" s="116" t="str">
        <x:v>High</x:v>
      </x:c>
      <x:c r="L5" s="116" t="str">
        <x:v>Fixture evidence, not Brazilian port-arrival confirmation.</x:v>
      </x:c>
      <x:c r="M5" s="136"/>
      <x:c r="N5" s="136"/>
      <x:c r="O5" s="136"/>
      <x:c r="P5" s="136"/>
      <x:c r="Q5" s="136"/>
      <x:c r="R5" s="136"/>
      <x:c r="S5" s="136"/>
      <x:c r="T5" s="136"/>
      <x:c r="U5" s="136"/>
      <x:c r="V5" s="136"/>
      <x:c r="W5" s="136"/>
      <x:c r="X5" s="136"/>
      <x:c r="Y5" s="136"/>
      <x:c r="Z5" s="136"/>
    </x:row>
    <x:row r="6">
      <x:c r="A6" s="122" t="n">
        <x:v>45855</x:v>
      </x:c>
      <x:c r="B6" s="116" t="str">
        <x:v>BARU</x:v>
      </x:c>
      <x:c r="C6" s="123" t="n">
        <x:v>60</x:v>
      </x:c>
      <x:c r="D6" s="116" t="str">
        <x:v>Naphtha</x:v>
      </x:c>
      <x:c r="E6" s="116" t="str">
        <x:v>USGC-Brazil</x:v>
      </x:c>
      <x:c r="F6" s="116" t="str">
        <x:v>Braskem</x:v>
      </x:c>
      <x:c r="G6" s="116" t="str">
        <x:v>S&amp;P/Platts fixture</x:v>
      </x:c>
      <x:c r="H6" s="116" t="n">
        <x:v>2025</x:v>
      </x:c>
      <x:c r="I6" s="116" t="str">
        <x:v>No</x:v>
      </x:c>
      <x:c r="J6" s="171" t="str">
        <x:v>https://www.scribd.com/document/888047980/APAG-20250711</x:v>
      </x:c>
      <x:c r="K6" s="116" t="str">
        <x:v>High</x:v>
      </x:c>
      <x:c r="L6" s="116" t="str">
        <x:v>Fixture evidence, not Brazilian port-arrival confirmation.</x:v>
      </x:c>
      <x:c r="M6" s="136"/>
      <x:c r="N6" s="136"/>
      <x:c r="O6" s="136"/>
      <x:c r="P6" s="136"/>
      <x:c r="Q6" s="136"/>
      <x:c r="R6" s="136"/>
      <x:c r="S6" s="136"/>
      <x:c r="T6" s="136"/>
      <x:c r="U6" s="136"/>
      <x:c r="V6" s="136"/>
      <x:c r="W6" s="136"/>
      <x:c r="X6" s="136"/>
      <x:c r="Y6" s="136"/>
      <x:c r="Z6" s="136"/>
    </x:row>
    <x:row r="7">
      <x:c r="A7" s="122" t="n">
        <x:v>45918</x:v>
      </x:c>
      <x:c r="B7" s="116" t="str">
        <x:v>UOG IOANNIS V</x:v>
      </x:c>
      <x:c r="C7" s="123" t="n">
        <x:v>60</x:v>
      </x:c>
      <x:c r="D7" s="116" t="str">
        <x:v>Naphtha</x:v>
      </x:c>
      <x:c r="E7" s="116" t="str">
        <x:v>USGC-Brazil</x:v>
      </x:c>
      <x:c r="F7" s="116" t="str">
        <x:v>Braskem</x:v>
      </x:c>
      <x:c r="G7" s="116" t="str">
        <x:v>S&amp;P/Platts fixture</x:v>
      </x:c>
      <x:c r="H7" s="116" t="n">
        <x:v>2025</x:v>
      </x:c>
      <x:c r="I7" s="116" t="str">
        <x:v>No</x:v>
      </x:c>
      <x:c r="J7" s="171" t="str">
        <x:v>https://www.petropexint.com/wp-content/uploads/2025/08/APAG_20250828.pdf</x:v>
      </x:c>
      <x:c r="K7" s="116" t="str">
        <x:v>High</x:v>
      </x:c>
      <x:c r="L7" s="116" t="str">
        <x:v>Fixture evidence, not Brazilian port-arrival confirmation.</x:v>
      </x:c>
      <x:c r="M7" s="136"/>
      <x:c r="N7" s="136"/>
      <x:c r="O7" s="136"/>
      <x:c r="P7" s="136"/>
      <x:c r="Q7" s="136"/>
      <x:c r="R7" s="136"/>
      <x:c r="S7" s="136"/>
      <x:c r="T7" s="136"/>
      <x:c r="U7" s="136"/>
      <x:c r="V7" s="136"/>
      <x:c r="W7" s="136"/>
      <x:c r="X7" s="136"/>
      <x:c r="Y7" s="136"/>
      <x:c r="Z7" s="136"/>
    </x:row>
    <x:row r="8">
      <x:c r="A8" s="176"/>
      <x:c r="B8" s="176"/>
      <x:c r="C8" s="176"/>
      <x:c r="D8" s="176"/>
      <x:c r="E8" s="176"/>
      <x:c r="F8" s="176"/>
      <x:c r="G8" s="176"/>
      <x:c r="H8" s="176"/>
      <x:c r="I8" s="176"/>
      <x:c r="J8" s="176"/>
      <x:c r="K8" s="176"/>
      <x:c r="L8" s="176"/>
      <x:c r="M8" s="136"/>
      <x:c r="N8" s="136"/>
      <x:c r="O8" s="136"/>
      <x:c r="P8" s="136"/>
      <x:c r="Q8" s="136"/>
      <x:c r="R8" s="136"/>
      <x:c r="S8" s="136"/>
      <x:c r="T8" s="136"/>
      <x:c r="U8" s="136"/>
      <x:c r="V8" s="136"/>
      <x:c r="W8" s="136"/>
      <x:c r="X8" s="136"/>
      <x:c r="Y8" s="136"/>
      <x:c r="Z8" s="136"/>
    </x:row>
    <x:row r="9">
      <x:c r="A9" s="153" t="str">
        <x:v>IMPORTANT: This is a discovered-evidence log, not a complete fixture history. Missing rows must not be interpreted as zero imports. For a true monthly history, use ANP / Braskem / Transpetro terminal movement files; the Monthly Monitor includes a dedicated field for that backfill.</x:v>
      </x:c>
      <x:c r="B9" s="153"/>
      <x:c r="C9" s="153"/>
      <x:c r="D9" s="153"/>
      <x:c r="E9" s="153"/>
      <x:c r="F9" s="153"/>
      <x:c r="G9" s="153"/>
      <x:c r="H9" s="153"/>
      <x:c r="I9" s="153"/>
      <x:c r="J9" s="153"/>
      <x:c r="K9" s="153"/>
      <x:c r="L9" s="153"/>
      <x:c r="M9" s="136"/>
      <x:c r="N9" s="136"/>
      <x:c r="O9" s="136"/>
      <x:c r="P9" s="136"/>
      <x:c r="Q9" s="136"/>
      <x:c r="R9" s="136"/>
      <x:c r="S9" s="136"/>
      <x:c r="T9" s="136"/>
      <x:c r="U9" s="136"/>
      <x:c r="V9" s="136"/>
      <x:c r="W9" s="136"/>
      <x:c r="X9" s="136"/>
      <x:c r="Y9" s="136"/>
      <x:c r="Z9" s="136"/>
    </x:row>
    <x:row r="10">
      <x:c r="A10" s="153"/>
      <x:c r="B10" s="153"/>
      <x:c r="C10" s="153"/>
      <x:c r="D10" s="153"/>
      <x:c r="E10" s="153"/>
      <x:c r="F10" s="153"/>
      <x:c r="G10" s="153"/>
      <x:c r="H10" s="153"/>
      <x:c r="I10" s="153"/>
      <x:c r="J10" s="153"/>
      <x:c r="K10" s="153"/>
      <x:c r="L10" s="153"/>
      <x:c r="M10" s="136"/>
      <x:c r="N10" s="136"/>
      <x:c r="O10" s="136"/>
      <x:c r="P10" s="136"/>
      <x:c r="Q10" s="136"/>
      <x:c r="R10" s="136"/>
      <x:c r="S10" s="136"/>
      <x:c r="T10" s="136"/>
      <x:c r="U10" s="136"/>
      <x:c r="V10" s="136"/>
      <x:c r="W10" s="136"/>
      <x:c r="X10" s="136"/>
      <x:c r="Y10" s="136"/>
      <x:c r="Z10" s="136"/>
    </x:row>
    <x:row r="11">
      <x:c r="A11" s="136"/>
      <x:c r="B11" s="136"/>
      <x:c r="C11" s="136"/>
      <x:c r="D11" s="136"/>
      <x:c r="E11" s="136"/>
      <x:c r="F11" s="136"/>
      <x:c r="G11" s="136"/>
      <x:c r="H11" s="136"/>
      <x:c r="I11" s="136"/>
      <x:c r="J11" s="136"/>
      <x:c r="K11" s="136"/>
      <x:c r="L11" s="136"/>
      <x:c r="M11" s="136"/>
      <x:c r="N11" s="136"/>
      <x:c r="O11" s="136"/>
      <x:c r="P11" s="136"/>
      <x:c r="Q11" s="136"/>
      <x:c r="R11" s="136"/>
      <x:c r="S11" s="136"/>
      <x:c r="T11" s="136"/>
      <x:c r="U11" s="136"/>
      <x:c r="V11" s="136"/>
      <x:c r="W11" s="136"/>
      <x:c r="X11" s="136"/>
      <x:c r="Y11" s="136"/>
      <x:c r="Z11" s="136"/>
    </x:row>
    <x:row r="12">
      <x:c r="A12" s="136"/>
      <x:c r="B12" s="136"/>
      <x:c r="C12" s="136"/>
      <x:c r="D12" s="136"/>
      <x:c r="E12" s="136"/>
      <x:c r="F12" s="136"/>
      <x:c r="G12" s="136"/>
      <x:c r="H12" s="136"/>
      <x:c r="I12" s="136"/>
      <x:c r="J12" s="136"/>
      <x:c r="K12" s="136"/>
      <x:c r="L12" s="136"/>
      <x:c r="M12" s="136"/>
      <x:c r="N12" s="136"/>
      <x:c r="O12" s="136"/>
      <x:c r="P12" s="136"/>
      <x:c r="Q12" s="136"/>
      <x:c r="R12" s="136"/>
      <x:c r="S12" s="136"/>
      <x:c r="T12" s="136"/>
      <x:c r="U12" s="136"/>
      <x:c r="V12" s="136"/>
      <x:c r="W12" s="136"/>
      <x:c r="X12" s="136"/>
      <x:c r="Y12" s="136"/>
      <x:c r="Z12" s="136"/>
    </x:row>
    <x:row r="13">
      <x:c r="A13" s="136"/>
      <x:c r="B13" s="136"/>
      <x:c r="C13" s="136"/>
      <x:c r="D13" s="136"/>
      <x:c r="E13" s="136"/>
      <x:c r="F13" s="136"/>
      <x:c r="G13" s="136"/>
      <x:c r="H13" s="136"/>
      <x:c r="I13" s="136"/>
      <x:c r="J13" s="136"/>
      <x:c r="K13" s="136"/>
      <x:c r="L13" s="136"/>
      <x:c r="M13" s="136"/>
      <x:c r="N13" s="136"/>
      <x:c r="O13" s="136"/>
      <x:c r="P13" s="136"/>
      <x:c r="Q13" s="136"/>
      <x:c r="R13" s="136"/>
      <x:c r="S13" s="136"/>
      <x:c r="T13" s="136"/>
      <x:c r="U13" s="136"/>
      <x:c r="V13" s="136"/>
      <x:c r="W13" s="136"/>
      <x:c r="X13" s="136"/>
      <x:c r="Y13" s="136"/>
      <x:c r="Z13" s="136"/>
    </x:row>
    <x:row r="14">
      <x:c r="A14" s="136"/>
      <x:c r="B14" s="136"/>
      <x:c r="C14" s="136"/>
      <x:c r="D14" s="136"/>
      <x:c r="E14" s="136"/>
      <x:c r="F14" s="136"/>
      <x:c r="G14" s="136"/>
      <x:c r="H14" s="136"/>
      <x:c r="I14" s="136"/>
      <x:c r="J14" s="136"/>
      <x:c r="K14" s="136"/>
      <x:c r="L14" s="136"/>
      <x:c r="M14" s="136"/>
      <x:c r="N14" s="136"/>
      <x:c r="O14" s="136"/>
      <x:c r="P14" s="136"/>
      <x:c r="Q14" s="136"/>
      <x:c r="R14" s="136"/>
      <x:c r="S14" s="136"/>
      <x:c r="T14" s="136"/>
      <x:c r="U14" s="136"/>
      <x:c r="V14" s="136"/>
      <x:c r="W14" s="136"/>
      <x:c r="X14" s="136"/>
      <x:c r="Y14" s="136"/>
      <x:c r="Z14" s="136"/>
    </x:row>
    <x:row r="15">
      <x:c r="A15" s="136"/>
      <x:c r="B15" s="136"/>
      <x:c r="C15" s="136"/>
      <x:c r="D15" s="136"/>
      <x:c r="E15" s="136"/>
      <x:c r="F15" s="136"/>
      <x:c r="G15" s="136"/>
      <x:c r="H15" s="136"/>
      <x:c r="I15" s="136"/>
      <x:c r="J15" s="136"/>
      <x:c r="K15" s="136"/>
      <x:c r="L15" s="136"/>
      <x:c r="M15" s="136"/>
      <x:c r="N15" s="136"/>
      <x:c r="O15" s="136"/>
      <x:c r="P15" s="136"/>
      <x:c r="Q15" s="136"/>
      <x:c r="R15" s="136"/>
      <x:c r="S15" s="136"/>
      <x:c r="T15" s="136"/>
      <x:c r="U15" s="136"/>
      <x:c r="V15" s="136"/>
      <x:c r="W15" s="136"/>
      <x:c r="X15" s="136"/>
      <x:c r="Y15" s="136"/>
      <x:c r="Z15" s="136"/>
    </x:row>
    <x:row r="16">
      <x:c r="A16" s="136"/>
      <x:c r="B16" s="136"/>
      <x:c r="C16" s="136"/>
      <x:c r="D16" s="136"/>
      <x:c r="E16" s="136"/>
      <x:c r="F16" s="136"/>
      <x:c r="G16" s="136"/>
      <x:c r="H16" s="136"/>
      <x:c r="I16" s="136"/>
      <x:c r="J16" s="136"/>
      <x:c r="K16" s="136"/>
      <x:c r="L16" s="136"/>
      <x:c r="M16" s="136"/>
      <x:c r="N16" s="136"/>
      <x:c r="O16" s="136"/>
      <x:c r="P16" s="136"/>
      <x:c r="Q16" s="136"/>
      <x:c r="R16" s="136"/>
      <x:c r="S16" s="136"/>
      <x:c r="T16" s="136"/>
      <x:c r="U16" s="136"/>
      <x:c r="V16" s="136"/>
      <x:c r="W16" s="136"/>
      <x:c r="X16" s="136"/>
      <x:c r="Y16" s="136"/>
      <x:c r="Z16" s="136"/>
    </x:row>
    <x:row r="17">
      <x:c r="A17" s="136"/>
      <x:c r="B17" s="136"/>
      <x:c r="C17" s="136"/>
      <x:c r="D17" s="136"/>
      <x:c r="E17" s="136"/>
      <x:c r="F17" s="136"/>
      <x:c r="G17" s="136"/>
      <x:c r="H17" s="136"/>
      <x:c r="I17" s="136"/>
      <x:c r="J17" s="136"/>
      <x:c r="K17" s="136"/>
      <x:c r="L17" s="136"/>
      <x:c r="M17" s="136"/>
      <x:c r="N17" s="136"/>
      <x:c r="O17" s="136"/>
      <x:c r="P17" s="136"/>
      <x:c r="Q17" s="136"/>
      <x:c r="R17" s="136"/>
      <x:c r="S17" s="136"/>
      <x:c r="T17" s="136"/>
      <x:c r="U17" s="136"/>
      <x:c r="V17" s="136"/>
      <x:c r="W17" s="136"/>
      <x:c r="X17" s="136"/>
      <x:c r="Y17" s="136"/>
      <x:c r="Z17" s="136"/>
    </x:row>
    <x:row r="18">
      <x:c r="A18" s="136"/>
      <x:c r="B18" s="136"/>
      <x:c r="C18" s="136"/>
      <x:c r="D18" s="136"/>
      <x:c r="E18" s="136"/>
      <x:c r="F18" s="136"/>
      <x:c r="G18" s="136"/>
      <x:c r="H18" s="136"/>
      <x:c r="I18" s="136"/>
      <x:c r="J18" s="136"/>
      <x:c r="K18" s="136"/>
      <x:c r="L18" s="136"/>
      <x:c r="M18" s="136"/>
      <x:c r="N18" s="136"/>
      <x:c r="O18" s="136"/>
      <x:c r="P18" s="136"/>
      <x:c r="Q18" s="136"/>
      <x:c r="R18" s="136"/>
      <x:c r="S18" s="136"/>
      <x:c r="T18" s="136"/>
      <x:c r="U18" s="136"/>
      <x:c r="V18" s="136"/>
      <x:c r="W18" s="136"/>
      <x:c r="X18" s="136"/>
      <x:c r="Y18" s="136"/>
      <x:c r="Z18" s="136"/>
    </x:row>
    <x:row r="19">
      <x:c r="A19" s="136"/>
      <x:c r="B19" s="136"/>
      <x:c r="C19" s="136"/>
      <x:c r="D19" s="136"/>
      <x:c r="E19" s="136"/>
      <x:c r="F19" s="136"/>
      <x:c r="G19" s="136"/>
      <x:c r="H19" s="136"/>
      <x:c r="I19" s="136"/>
      <x:c r="J19" s="136"/>
      <x:c r="K19" s="136"/>
      <x:c r="L19" s="136"/>
      <x:c r="M19" s="136"/>
      <x:c r="N19" s="136"/>
      <x:c r="O19" s="136"/>
      <x:c r="P19" s="136"/>
      <x:c r="Q19" s="136"/>
      <x:c r="R19" s="136"/>
      <x:c r="S19" s="136"/>
      <x:c r="T19" s="136"/>
      <x:c r="U19" s="136"/>
      <x:c r="V19" s="136"/>
      <x:c r="W19" s="136"/>
      <x:c r="X19" s="136"/>
      <x:c r="Y19" s="136"/>
      <x:c r="Z19" s="136"/>
    </x:row>
    <x:row r="20">
      <x:c r="A20" s="136"/>
      <x:c r="B20" s="136"/>
      <x:c r="C20" s="136"/>
      <x:c r="D20" s="136"/>
      <x:c r="E20" s="136"/>
      <x:c r="F20" s="136"/>
      <x:c r="G20" s="136"/>
      <x:c r="H20" s="136"/>
      <x:c r="I20" s="136"/>
      <x:c r="J20" s="136"/>
      <x:c r="K20" s="136"/>
      <x:c r="L20" s="136"/>
      <x:c r="M20" s="136"/>
      <x:c r="N20" s="136"/>
      <x:c r="O20" s="136"/>
      <x:c r="P20" s="136"/>
      <x:c r="Q20" s="136"/>
      <x:c r="R20" s="136"/>
      <x:c r="S20" s="136"/>
      <x:c r="T20" s="136"/>
      <x:c r="U20" s="136"/>
      <x:c r="V20" s="136"/>
      <x:c r="W20" s="136"/>
      <x:c r="X20" s="136"/>
      <x:c r="Y20" s="136"/>
      <x:c r="Z20" s="136"/>
    </x:row>
    <x:row r="21">
      <x:c r="A21" s="136"/>
      <x:c r="B21" s="136"/>
      <x:c r="C21" s="136"/>
      <x:c r="D21" s="136"/>
      <x:c r="E21" s="136"/>
      <x:c r="F21" s="136"/>
      <x:c r="G21" s="136"/>
      <x:c r="H21" s="136"/>
      <x:c r="I21" s="136"/>
      <x:c r="J21" s="136"/>
      <x:c r="K21" s="136"/>
      <x:c r="L21" s="136"/>
      <x:c r="M21" s="136"/>
      <x:c r="N21" s="136"/>
      <x:c r="O21" s="136"/>
      <x:c r="P21" s="136"/>
      <x:c r="Q21" s="136"/>
      <x:c r="R21" s="136"/>
      <x:c r="S21" s="136"/>
      <x:c r="T21" s="136"/>
      <x:c r="U21" s="136"/>
      <x:c r="V21" s="136"/>
      <x:c r="W21" s="136"/>
      <x:c r="X21" s="136"/>
      <x:c r="Y21" s="136"/>
      <x:c r="Z21" s="136"/>
    </x:row>
    <x:row r="22">
      <x:c r="A22" s="136"/>
      <x:c r="B22" s="136"/>
      <x:c r="C22" s="136"/>
      <x:c r="D22" s="136"/>
      <x:c r="E22" s="136"/>
      <x:c r="F22" s="136"/>
      <x:c r="G22" s="136"/>
      <x:c r="H22" s="136"/>
      <x:c r="I22" s="136"/>
      <x:c r="J22" s="136"/>
      <x:c r="K22" s="136"/>
      <x:c r="L22" s="136"/>
      <x:c r="M22" s="136"/>
      <x:c r="N22" s="136"/>
      <x:c r="O22" s="136"/>
      <x:c r="P22" s="136"/>
      <x:c r="Q22" s="136"/>
      <x:c r="R22" s="136"/>
      <x:c r="S22" s="136"/>
      <x:c r="T22" s="136"/>
      <x:c r="U22" s="136"/>
      <x:c r="V22" s="136"/>
      <x:c r="W22" s="136"/>
      <x:c r="X22" s="136"/>
      <x:c r="Y22" s="136"/>
      <x:c r="Z22" s="136"/>
    </x:row>
    <x:row r="23">
      <x:c r="A23" s="136"/>
      <x:c r="B23" s="136"/>
      <x:c r="C23" s="136"/>
      <x:c r="D23" s="136"/>
      <x:c r="E23" s="136"/>
      <x:c r="F23" s="136"/>
      <x:c r="G23" s="136"/>
      <x:c r="H23" s="136"/>
      <x:c r="I23" s="136"/>
      <x:c r="J23" s="136"/>
      <x:c r="K23" s="136"/>
      <x:c r="L23" s="136"/>
      <x:c r="M23" s="136"/>
      <x:c r="N23" s="136"/>
      <x:c r="O23" s="136"/>
      <x:c r="P23" s="136"/>
      <x:c r="Q23" s="136"/>
      <x:c r="R23" s="136"/>
      <x:c r="S23" s="136"/>
      <x:c r="T23" s="136"/>
      <x:c r="U23" s="136"/>
      <x:c r="V23" s="136"/>
      <x:c r="W23" s="136"/>
      <x:c r="X23" s="136"/>
      <x:c r="Y23" s="136"/>
      <x:c r="Z23" s="136"/>
    </x:row>
    <x:row r="24">
      <x:c r="A24" s="136"/>
      <x:c r="B24" s="136"/>
      <x:c r="C24" s="136"/>
      <x:c r="D24" s="136"/>
      <x:c r="E24" s="136"/>
      <x:c r="F24" s="136"/>
      <x:c r="G24" s="136"/>
      <x:c r="H24" s="136"/>
      <x:c r="I24" s="136"/>
      <x:c r="J24" s="136"/>
      <x:c r="K24" s="136"/>
      <x:c r="L24" s="136"/>
      <x:c r="M24" s="136"/>
      <x:c r="N24" s="136"/>
      <x:c r="O24" s="136"/>
      <x:c r="P24" s="136"/>
      <x:c r="Q24" s="136"/>
      <x:c r="R24" s="136"/>
      <x:c r="S24" s="136"/>
      <x:c r="T24" s="136"/>
      <x:c r="U24" s="136"/>
      <x:c r="V24" s="136"/>
      <x:c r="W24" s="136"/>
      <x:c r="X24" s="136"/>
      <x:c r="Y24" s="136"/>
      <x:c r="Z24" s="136"/>
    </x:row>
    <x:row r="25">
      <x:c r="A25" s="136"/>
      <x:c r="B25" s="136"/>
      <x:c r="C25" s="136"/>
      <x:c r="D25" s="136"/>
      <x:c r="E25" s="136"/>
      <x:c r="F25" s="136"/>
      <x:c r="G25" s="136"/>
      <x:c r="H25" s="136"/>
      <x:c r="I25" s="136"/>
      <x:c r="J25" s="136"/>
      <x:c r="K25" s="136"/>
      <x:c r="L25" s="136"/>
      <x:c r="M25" s="136"/>
      <x:c r="N25" s="136"/>
      <x:c r="O25" s="136"/>
      <x:c r="P25" s="136"/>
      <x:c r="Q25" s="136"/>
      <x:c r="R25" s="136"/>
      <x:c r="S25" s="136"/>
      <x:c r="T25" s="136"/>
      <x:c r="U25" s="136"/>
      <x:c r="V25" s="136"/>
      <x:c r="W25" s="136"/>
      <x:c r="X25" s="136"/>
      <x:c r="Y25" s="136"/>
      <x:c r="Z25" s="136"/>
    </x:row>
    <x:row r="26">
      <x:c r="A26" s="136"/>
      <x:c r="B26" s="136"/>
      <x:c r="C26" s="136"/>
      <x:c r="D26" s="136"/>
      <x:c r="E26" s="136"/>
      <x:c r="F26" s="136"/>
      <x:c r="G26" s="136"/>
      <x:c r="H26" s="136"/>
      <x:c r="I26" s="136"/>
      <x:c r="J26" s="136"/>
      <x:c r="K26" s="136"/>
      <x:c r="L26" s="136"/>
      <x:c r="M26" s="136"/>
      <x:c r="N26" s="136"/>
      <x:c r="O26" s="136"/>
      <x:c r="P26" s="136"/>
      <x:c r="Q26" s="136"/>
      <x:c r="R26" s="136"/>
      <x:c r="S26" s="136"/>
      <x:c r="T26" s="136"/>
      <x:c r="U26" s="136"/>
      <x:c r="V26" s="136"/>
      <x:c r="W26" s="136"/>
      <x:c r="X26" s="136"/>
      <x:c r="Y26" s="136"/>
      <x:c r="Z26" s="136"/>
    </x:row>
    <x:row r="27">
      <x:c r="A27" s="136"/>
      <x:c r="B27" s="136"/>
      <x:c r="C27" s="136"/>
      <x:c r="D27" s="136"/>
      <x:c r="E27" s="136"/>
      <x:c r="F27" s="136"/>
      <x:c r="G27" s="136"/>
      <x:c r="H27" s="136"/>
      <x:c r="I27" s="136"/>
      <x:c r="J27" s="136"/>
      <x:c r="K27" s="136"/>
      <x:c r="L27" s="136"/>
      <x:c r="M27" s="136"/>
      <x:c r="N27" s="136"/>
      <x:c r="O27" s="136"/>
      <x:c r="P27" s="136"/>
      <x:c r="Q27" s="136"/>
      <x:c r="R27" s="136"/>
      <x:c r="S27" s="136"/>
      <x:c r="T27" s="136"/>
      <x:c r="U27" s="136"/>
      <x:c r="V27" s="136"/>
      <x:c r="W27" s="136"/>
      <x:c r="X27" s="136"/>
      <x:c r="Y27" s="136"/>
      <x:c r="Z27" s="136"/>
    </x:row>
    <x:row r="28">
      <x:c r="A28" s="136"/>
      <x:c r="B28" s="136"/>
      <x:c r="C28" s="136"/>
      <x:c r="D28" s="136"/>
      <x:c r="E28" s="136"/>
      <x:c r="F28" s="136"/>
      <x:c r="G28" s="136"/>
      <x:c r="H28" s="136"/>
      <x:c r="I28" s="136"/>
      <x:c r="J28" s="136"/>
      <x:c r="K28" s="136"/>
      <x:c r="L28" s="136"/>
      <x:c r="M28" s="136"/>
      <x:c r="N28" s="136"/>
      <x:c r="O28" s="136"/>
      <x:c r="P28" s="136"/>
      <x:c r="Q28" s="136"/>
      <x:c r="R28" s="136"/>
      <x:c r="S28" s="136"/>
      <x:c r="T28" s="136"/>
      <x:c r="U28" s="136"/>
      <x:c r="V28" s="136"/>
      <x:c r="W28" s="136"/>
      <x:c r="X28" s="136"/>
      <x:c r="Y28" s="136"/>
      <x:c r="Z28" s="136"/>
    </x:row>
    <x:row r="29">
      <x:c r="A29" s="136"/>
      <x:c r="B29" s="136"/>
      <x:c r="C29" s="136"/>
      <x:c r="D29" s="136"/>
      <x:c r="E29" s="136"/>
      <x:c r="F29" s="136"/>
      <x:c r="G29" s="136"/>
      <x:c r="H29" s="136"/>
      <x:c r="I29" s="136"/>
      <x:c r="J29" s="136"/>
      <x:c r="K29" s="136"/>
      <x:c r="L29" s="136"/>
      <x:c r="M29" s="136"/>
      <x:c r="N29" s="136"/>
      <x:c r="O29" s="136"/>
      <x:c r="P29" s="136"/>
      <x:c r="Q29" s="136"/>
      <x:c r="R29" s="136"/>
      <x:c r="S29" s="136"/>
      <x:c r="T29" s="136"/>
      <x:c r="U29" s="136"/>
      <x:c r="V29" s="136"/>
      <x:c r="W29" s="136"/>
      <x:c r="X29" s="136"/>
      <x:c r="Y29" s="136"/>
      <x:c r="Z29" s="136"/>
    </x:row>
    <x:row r="30">
      <x:c r="A30" s="136"/>
      <x:c r="B30" s="136"/>
      <x:c r="C30" s="136"/>
      <x:c r="D30" s="136"/>
      <x:c r="E30" s="136"/>
      <x:c r="F30" s="136"/>
      <x:c r="G30" s="136"/>
      <x:c r="H30" s="136"/>
      <x:c r="I30" s="136"/>
      <x:c r="J30" s="136"/>
      <x:c r="K30" s="136"/>
      <x:c r="L30" s="136"/>
      <x:c r="M30" s="136"/>
      <x:c r="N30" s="136"/>
      <x:c r="O30" s="136"/>
      <x:c r="P30" s="136"/>
      <x:c r="Q30" s="136"/>
      <x:c r="R30" s="136"/>
      <x:c r="S30" s="136"/>
      <x:c r="T30" s="136"/>
      <x:c r="U30" s="136"/>
      <x:c r="V30" s="136"/>
      <x:c r="W30" s="136"/>
      <x:c r="X30" s="136"/>
      <x:c r="Y30" s="136"/>
      <x:c r="Z30" s="136"/>
    </x:row>
    <x:row r="31">
      <x:c r="A31" s="136"/>
      <x:c r="B31" s="136"/>
      <x:c r="C31" s="136"/>
      <x:c r="D31" s="136"/>
      <x:c r="E31" s="136"/>
      <x:c r="F31" s="136"/>
      <x:c r="G31" s="136"/>
      <x:c r="H31" s="136"/>
      <x:c r="I31" s="136"/>
      <x:c r="J31" s="136"/>
      <x:c r="K31" s="136"/>
      <x:c r="L31" s="136"/>
      <x:c r="M31" s="136"/>
      <x:c r="N31" s="136"/>
      <x:c r="O31" s="136"/>
      <x:c r="P31" s="136"/>
      <x:c r="Q31" s="136"/>
      <x:c r="R31" s="136"/>
      <x:c r="S31" s="136"/>
      <x:c r="T31" s="136"/>
      <x:c r="U31" s="136"/>
      <x:c r="V31" s="136"/>
      <x:c r="W31" s="136"/>
      <x:c r="X31" s="136"/>
      <x:c r="Y31" s="136"/>
      <x:c r="Z31" s="136"/>
    </x:row>
    <x:row r="32">
      <x:c r="A32" s="136"/>
      <x:c r="B32" s="136"/>
      <x:c r="C32" s="136"/>
      <x:c r="D32" s="136"/>
      <x:c r="E32" s="136"/>
      <x:c r="F32" s="136"/>
      <x:c r="G32" s="136"/>
      <x:c r="H32" s="136"/>
      <x:c r="I32" s="136"/>
      <x:c r="J32" s="136"/>
      <x:c r="K32" s="136"/>
      <x:c r="L32" s="136"/>
      <x:c r="M32" s="136"/>
      <x:c r="N32" s="136"/>
      <x:c r="O32" s="136"/>
      <x:c r="P32" s="136"/>
      <x:c r="Q32" s="136"/>
      <x:c r="R32" s="136"/>
      <x:c r="S32" s="136"/>
      <x:c r="T32" s="136"/>
      <x:c r="U32" s="136"/>
      <x:c r="V32" s="136"/>
      <x:c r="W32" s="136"/>
      <x:c r="X32" s="136"/>
      <x:c r="Y32" s="136"/>
      <x:c r="Z32" s="136"/>
    </x:row>
    <x:row r="33">
      <x:c r="A33" s="136"/>
      <x:c r="B33" s="136"/>
      <x:c r="C33" s="136"/>
      <x:c r="D33" s="136"/>
      <x:c r="E33" s="136"/>
      <x:c r="F33" s="136"/>
      <x:c r="G33" s="136"/>
      <x:c r="H33" s="136"/>
      <x:c r="I33" s="136"/>
      <x:c r="J33" s="136"/>
      <x:c r="K33" s="136"/>
      <x:c r="L33" s="136"/>
      <x:c r="M33" s="136"/>
      <x:c r="N33" s="136"/>
      <x:c r="O33" s="136"/>
      <x:c r="P33" s="136"/>
      <x:c r="Q33" s="136"/>
      <x:c r="R33" s="136"/>
      <x:c r="S33" s="136"/>
      <x:c r="T33" s="136"/>
      <x:c r="U33" s="136"/>
      <x:c r="V33" s="136"/>
      <x:c r="W33" s="136"/>
      <x:c r="X33" s="136"/>
      <x:c r="Y33" s="136"/>
      <x:c r="Z33" s="136"/>
    </x:row>
    <x:row r="34">
      <x:c r="A34" s="136"/>
      <x:c r="B34" s="136"/>
      <x:c r="C34" s="136"/>
      <x:c r="D34" s="136"/>
      <x:c r="E34" s="136"/>
      <x:c r="F34" s="136"/>
      <x:c r="G34" s="136"/>
      <x:c r="H34" s="136"/>
      <x:c r="I34" s="136"/>
      <x:c r="J34" s="136"/>
      <x:c r="K34" s="136"/>
      <x:c r="L34" s="136"/>
      <x:c r="M34" s="136"/>
      <x:c r="N34" s="136"/>
      <x:c r="O34" s="136"/>
      <x:c r="P34" s="136"/>
      <x:c r="Q34" s="136"/>
      <x:c r="R34" s="136"/>
      <x:c r="S34" s="136"/>
      <x:c r="T34" s="136"/>
      <x:c r="U34" s="136"/>
      <x:c r="V34" s="136"/>
      <x:c r="W34" s="136"/>
      <x:c r="X34" s="136"/>
      <x:c r="Y34" s="136"/>
      <x:c r="Z34" s="136"/>
    </x:row>
    <x:row r="35">
      <x:c r="A35" s="136"/>
      <x:c r="B35" s="136"/>
      <x:c r="C35" s="136"/>
      <x:c r="D35" s="136"/>
      <x:c r="E35" s="136"/>
      <x:c r="F35" s="136"/>
      <x:c r="G35" s="136"/>
      <x:c r="H35" s="136"/>
      <x:c r="I35" s="136"/>
      <x:c r="J35" s="136"/>
      <x:c r="K35" s="136"/>
      <x:c r="L35" s="136"/>
      <x:c r="M35" s="136"/>
      <x:c r="N35" s="136"/>
      <x:c r="O35" s="136"/>
      <x:c r="P35" s="136"/>
      <x:c r="Q35" s="136"/>
      <x:c r="R35" s="136"/>
      <x:c r="S35" s="136"/>
      <x:c r="T35" s="136"/>
      <x:c r="U35" s="136"/>
      <x:c r="V35" s="136"/>
      <x:c r="W35" s="136"/>
      <x:c r="X35" s="136"/>
      <x:c r="Y35" s="136"/>
      <x:c r="Z35" s="136"/>
    </x:row>
    <x:row r="36">
      <x:c r="A36" s="136"/>
      <x:c r="B36" s="136"/>
      <x:c r="C36" s="136"/>
      <x:c r="D36" s="136"/>
      <x:c r="E36" s="136"/>
      <x:c r="F36" s="136"/>
      <x:c r="G36" s="136"/>
      <x:c r="H36" s="136"/>
      <x:c r="I36" s="136"/>
      <x:c r="J36" s="136"/>
      <x:c r="K36" s="136"/>
      <x:c r="L36" s="136"/>
      <x:c r="M36" s="136"/>
      <x:c r="N36" s="136"/>
      <x:c r="O36" s="136"/>
      <x:c r="P36" s="136"/>
      <x:c r="Q36" s="136"/>
      <x:c r="R36" s="136"/>
      <x:c r="S36" s="136"/>
      <x:c r="T36" s="136"/>
      <x:c r="U36" s="136"/>
      <x:c r="V36" s="136"/>
      <x:c r="W36" s="136"/>
      <x:c r="X36" s="136"/>
      <x:c r="Y36" s="136"/>
      <x:c r="Z36" s="136"/>
    </x:row>
    <x:row r="37">
      <x:c r="A37" s="136"/>
      <x:c r="B37" s="136"/>
      <x:c r="C37" s="136"/>
      <x:c r="D37" s="136"/>
      <x:c r="E37" s="136"/>
      <x:c r="F37" s="136"/>
      <x:c r="G37" s="136"/>
      <x:c r="H37" s="136"/>
      <x:c r="I37" s="136"/>
      <x:c r="J37" s="136"/>
      <x:c r="K37" s="136"/>
      <x:c r="L37" s="136"/>
      <x:c r="M37" s="136"/>
      <x:c r="N37" s="136"/>
      <x:c r="O37" s="136"/>
      <x:c r="P37" s="136"/>
      <x:c r="Q37" s="136"/>
      <x:c r="R37" s="136"/>
      <x:c r="S37" s="136"/>
      <x:c r="T37" s="136"/>
      <x:c r="U37" s="136"/>
      <x:c r="V37" s="136"/>
      <x:c r="W37" s="136"/>
      <x:c r="X37" s="136"/>
      <x:c r="Y37" s="136"/>
      <x:c r="Z37" s="136"/>
    </x:row>
    <x:row r="38">
      <x:c r="A38" s="136"/>
      <x:c r="B38" s="136"/>
      <x:c r="C38" s="136"/>
      <x:c r="D38" s="136"/>
      <x:c r="E38" s="136"/>
      <x:c r="F38" s="136"/>
      <x:c r="G38" s="136"/>
      <x:c r="H38" s="136"/>
      <x:c r="I38" s="136"/>
      <x:c r="J38" s="136"/>
      <x:c r="K38" s="136"/>
      <x:c r="L38" s="136"/>
      <x:c r="M38" s="136"/>
      <x:c r="N38" s="136"/>
      <x:c r="O38" s="136"/>
      <x:c r="P38" s="136"/>
      <x:c r="Q38" s="136"/>
      <x:c r="R38" s="136"/>
      <x:c r="S38" s="136"/>
      <x:c r="T38" s="136"/>
      <x:c r="U38" s="136"/>
      <x:c r="V38" s="136"/>
      <x:c r="W38" s="136"/>
      <x:c r="X38" s="136"/>
      <x:c r="Y38" s="136"/>
      <x:c r="Z38" s="136"/>
    </x:row>
    <x:row r="39">
      <x:c r="A39" s="136"/>
      <x:c r="B39" s="136"/>
      <x:c r="C39" s="136"/>
      <x:c r="D39" s="136"/>
      <x:c r="E39" s="136"/>
      <x:c r="F39" s="136"/>
      <x:c r="G39" s="136"/>
      <x:c r="H39" s="136"/>
      <x:c r="I39" s="136"/>
      <x:c r="J39" s="136"/>
      <x:c r="K39" s="136"/>
      <x:c r="L39" s="136"/>
      <x:c r="M39" s="136"/>
      <x:c r="N39" s="136"/>
      <x:c r="O39" s="136"/>
      <x:c r="P39" s="136"/>
      <x:c r="Q39" s="136"/>
      <x:c r="R39" s="136"/>
      <x:c r="S39" s="136"/>
      <x:c r="T39" s="136"/>
      <x:c r="U39" s="136"/>
      <x:c r="V39" s="136"/>
      <x:c r="W39" s="136"/>
      <x:c r="X39" s="136"/>
      <x:c r="Y39" s="136"/>
      <x:c r="Z39" s="136"/>
    </x:row>
    <x:row r="40">
      <x:c r="A40" s="136"/>
      <x:c r="B40" s="136"/>
      <x:c r="C40" s="136"/>
      <x:c r="D40" s="136"/>
      <x:c r="E40" s="136"/>
      <x:c r="F40" s="136"/>
      <x:c r="G40" s="136"/>
      <x:c r="H40" s="136"/>
      <x:c r="I40" s="136"/>
      <x:c r="J40" s="136"/>
      <x:c r="K40" s="136"/>
      <x:c r="L40" s="136"/>
      <x:c r="M40" s="136"/>
      <x:c r="N40" s="136"/>
      <x:c r="O40" s="136"/>
      <x:c r="P40" s="136"/>
      <x:c r="Q40" s="136"/>
      <x:c r="R40" s="136"/>
      <x:c r="S40" s="136"/>
      <x:c r="T40" s="136"/>
      <x:c r="U40" s="136"/>
      <x:c r="V40" s="136"/>
      <x:c r="W40" s="136"/>
      <x:c r="X40" s="136"/>
      <x:c r="Y40" s="136"/>
      <x:c r="Z40" s="136"/>
    </x:row>
    <x:row r="41">
      <x:c r="A41" s="136"/>
      <x:c r="B41" s="136"/>
      <x:c r="C41" s="136"/>
      <x:c r="D41" s="136"/>
      <x:c r="E41" s="136"/>
      <x:c r="F41" s="136"/>
      <x:c r="G41" s="136"/>
      <x:c r="H41" s="136"/>
      <x:c r="I41" s="136"/>
      <x:c r="J41" s="136"/>
      <x:c r="K41" s="136"/>
      <x:c r="L41" s="136"/>
      <x:c r="M41" s="136"/>
      <x:c r="N41" s="136"/>
      <x:c r="O41" s="136"/>
      <x:c r="P41" s="136"/>
      <x:c r="Q41" s="136"/>
      <x:c r="R41" s="136"/>
      <x:c r="S41" s="136"/>
      <x:c r="T41" s="136"/>
      <x:c r="U41" s="136"/>
      <x:c r="V41" s="136"/>
      <x:c r="W41" s="136"/>
      <x:c r="X41" s="136"/>
      <x:c r="Y41" s="136"/>
      <x:c r="Z41" s="136"/>
    </x:row>
    <x:row r="42">
      <x:c r="A42" s="136"/>
      <x:c r="B42" s="136"/>
      <x:c r="C42" s="136"/>
      <x:c r="D42" s="136"/>
      <x:c r="E42" s="136"/>
      <x:c r="F42" s="136"/>
      <x:c r="G42" s="136"/>
      <x:c r="H42" s="136"/>
      <x:c r="I42" s="136"/>
      <x:c r="J42" s="136"/>
      <x:c r="K42" s="136"/>
      <x:c r="L42" s="136"/>
      <x:c r="M42" s="136"/>
      <x:c r="N42" s="136"/>
      <x:c r="O42" s="136"/>
      <x:c r="P42" s="136"/>
      <x:c r="Q42" s="136"/>
      <x:c r="R42" s="136"/>
      <x:c r="S42" s="136"/>
      <x:c r="T42" s="136"/>
      <x:c r="U42" s="136"/>
      <x:c r="V42" s="136"/>
      <x:c r="W42" s="136"/>
      <x:c r="X42" s="136"/>
      <x:c r="Y42" s="136"/>
      <x:c r="Z42" s="136"/>
    </x:row>
    <x:row r="43">
      <x:c r="A43" s="136"/>
      <x:c r="B43" s="136"/>
      <x:c r="C43" s="136"/>
      <x:c r="D43" s="136"/>
      <x:c r="E43" s="136"/>
      <x:c r="F43" s="136"/>
      <x:c r="G43" s="136"/>
      <x:c r="H43" s="136"/>
      <x:c r="I43" s="136"/>
      <x:c r="J43" s="136"/>
      <x:c r="K43" s="136"/>
      <x:c r="L43" s="136"/>
      <x:c r="M43" s="136"/>
      <x:c r="N43" s="136"/>
      <x:c r="O43" s="136"/>
      <x:c r="P43" s="136"/>
      <x:c r="Q43" s="136"/>
      <x:c r="R43" s="136"/>
      <x:c r="S43" s="136"/>
      <x:c r="T43" s="136"/>
      <x:c r="U43" s="136"/>
      <x:c r="V43" s="136"/>
      <x:c r="W43" s="136"/>
      <x:c r="X43" s="136"/>
      <x:c r="Y43" s="136"/>
      <x:c r="Z43" s="136"/>
    </x:row>
    <x:row r="44">
      <x:c r="A44" s="136"/>
      <x:c r="B44" s="136"/>
      <x:c r="C44" s="136"/>
      <x:c r="D44" s="136"/>
      <x:c r="E44" s="136"/>
      <x:c r="F44" s="136"/>
      <x:c r="G44" s="136"/>
      <x:c r="H44" s="136"/>
      <x:c r="I44" s="136"/>
      <x:c r="J44" s="136"/>
      <x:c r="K44" s="136"/>
      <x:c r="L44" s="136"/>
      <x:c r="M44" s="136"/>
      <x:c r="N44" s="136"/>
      <x:c r="O44" s="136"/>
      <x:c r="P44" s="136"/>
      <x:c r="Q44" s="136"/>
      <x:c r="R44" s="136"/>
      <x:c r="S44" s="136"/>
      <x:c r="T44" s="136"/>
      <x:c r="U44" s="136"/>
      <x:c r="V44" s="136"/>
      <x:c r="W44" s="136"/>
      <x:c r="X44" s="136"/>
      <x:c r="Y44" s="136"/>
      <x:c r="Z44" s="136"/>
    </x:row>
    <x:row r="45">
      <x:c r="A45" s="136"/>
      <x:c r="B45" s="136"/>
      <x:c r="C45" s="136"/>
      <x:c r="D45" s="136"/>
      <x:c r="E45" s="136"/>
      <x:c r="F45" s="136"/>
      <x:c r="G45" s="136"/>
      <x:c r="H45" s="136"/>
      <x:c r="I45" s="136"/>
      <x:c r="J45" s="136"/>
      <x:c r="K45" s="136"/>
      <x:c r="L45" s="136"/>
      <x:c r="M45" s="136"/>
      <x:c r="N45" s="136"/>
      <x:c r="O45" s="136"/>
      <x:c r="P45" s="136"/>
      <x:c r="Q45" s="136"/>
      <x:c r="R45" s="136"/>
      <x:c r="S45" s="136"/>
      <x:c r="T45" s="136"/>
      <x:c r="U45" s="136"/>
      <x:c r="V45" s="136"/>
      <x:c r="W45" s="136"/>
      <x:c r="X45" s="136"/>
      <x:c r="Y45" s="136"/>
      <x:c r="Z45" s="136"/>
    </x:row>
    <x:row r="46">
      <x:c r="A46" s="136"/>
      <x:c r="B46" s="136"/>
      <x:c r="C46" s="136"/>
      <x:c r="D46" s="136"/>
      <x:c r="E46" s="136"/>
      <x:c r="F46" s="136"/>
      <x:c r="G46" s="136"/>
      <x:c r="H46" s="136"/>
      <x:c r="I46" s="136"/>
      <x:c r="J46" s="136"/>
      <x:c r="K46" s="136"/>
      <x:c r="L46" s="136"/>
      <x:c r="M46" s="136"/>
      <x:c r="N46" s="136"/>
      <x:c r="O46" s="136"/>
      <x:c r="P46" s="136"/>
      <x:c r="Q46" s="136"/>
      <x:c r="R46" s="136"/>
      <x:c r="S46" s="136"/>
      <x:c r="T46" s="136"/>
      <x:c r="U46" s="136"/>
      <x:c r="V46" s="136"/>
      <x:c r="W46" s="136"/>
      <x:c r="X46" s="136"/>
      <x:c r="Y46" s="136"/>
      <x:c r="Z46" s="136"/>
    </x:row>
    <x:row r="47">
      <x:c r="A47" s="136"/>
      <x:c r="B47" s="136"/>
      <x:c r="C47" s="136"/>
      <x:c r="D47" s="136"/>
      <x:c r="E47" s="136"/>
      <x:c r="F47" s="136"/>
      <x:c r="G47" s="136"/>
      <x:c r="H47" s="136"/>
      <x:c r="I47" s="136"/>
      <x:c r="J47" s="136"/>
      <x:c r="K47" s="136"/>
      <x:c r="L47" s="136"/>
      <x:c r="M47" s="136"/>
      <x:c r="N47" s="136"/>
      <x:c r="O47" s="136"/>
      <x:c r="P47" s="136"/>
      <x:c r="Q47" s="136"/>
      <x:c r="R47" s="136"/>
      <x:c r="S47" s="136"/>
      <x:c r="T47" s="136"/>
      <x:c r="U47" s="136"/>
      <x:c r="V47" s="136"/>
      <x:c r="W47" s="136"/>
      <x:c r="X47" s="136"/>
      <x:c r="Y47" s="136"/>
      <x:c r="Z47" s="136"/>
    </x:row>
    <x:row r="48">
      <x:c r="A48" s="136"/>
      <x:c r="B48" s="136"/>
      <x:c r="C48" s="136"/>
      <x:c r="D48" s="136"/>
      <x:c r="E48" s="136"/>
      <x:c r="F48" s="136"/>
      <x:c r="G48" s="136"/>
      <x:c r="H48" s="136"/>
      <x:c r="I48" s="136"/>
      <x:c r="J48" s="136"/>
      <x:c r="K48" s="136"/>
      <x:c r="L48" s="136"/>
      <x:c r="M48" s="136"/>
      <x:c r="N48" s="136"/>
      <x:c r="O48" s="136"/>
      <x:c r="P48" s="136"/>
      <x:c r="Q48" s="136"/>
      <x:c r="R48" s="136"/>
      <x:c r="S48" s="136"/>
      <x:c r="T48" s="136"/>
      <x:c r="U48" s="136"/>
      <x:c r="V48" s="136"/>
      <x:c r="W48" s="136"/>
      <x:c r="X48" s="136"/>
      <x:c r="Y48" s="136"/>
      <x:c r="Z48" s="136"/>
    </x:row>
    <x:row r="49">
      <x:c r="A49" s="136"/>
      <x:c r="B49" s="136"/>
      <x:c r="C49" s="136"/>
      <x:c r="D49" s="136"/>
      <x:c r="E49" s="136"/>
      <x:c r="F49" s="136"/>
      <x:c r="G49" s="136"/>
      <x:c r="H49" s="136"/>
      <x:c r="I49" s="136"/>
      <x:c r="J49" s="136"/>
      <x:c r="K49" s="136"/>
      <x:c r="L49" s="136"/>
      <x:c r="M49" s="136"/>
      <x:c r="N49" s="136"/>
      <x:c r="O49" s="136"/>
      <x:c r="P49" s="136"/>
      <x:c r="Q49" s="136"/>
      <x:c r="R49" s="136"/>
      <x:c r="S49" s="136"/>
      <x:c r="T49" s="136"/>
      <x:c r="U49" s="136"/>
      <x:c r="V49" s="136"/>
      <x:c r="W49" s="136"/>
      <x:c r="X49" s="136"/>
      <x:c r="Y49" s="136"/>
      <x:c r="Z49" s="136"/>
    </x:row>
    <x:row r="50">
      <x:c r="A50" s="136"/>
      <x:c r="B50" s="136"/>
      <x:c r="C50" s="136"/>
      <x:c r="D50" s="136"/>
      <x:c r="E50" s="136"/>
      <x:c r="F50" s="136"/>
      <x:c r="G50" s="136"/>
      <x:c r="H50" s="136"/>
      <x:c r="I50" s="136"/>
      <x:c r="J50" s="136"/>
      <x:c r="K50" s="136"/>
      <x:c r="L50" s="136"/>
      <x:c r="M50" s="136"/>
      <x:c r="N50" s="136"/>
      <x:c r="O50" s="136"/>
      <x:c r="P50" s="136"/>
      <x:c r="Q50" s="136"/>
      <x:c r="R50" s="136"/>
      <x:c r="S50" s="136"/>
      <x:c r="T50" s="136"/>
      <x:c r="U50" s="136"/>
      <x:c r="V50" s="136"/>
      <x:c r="W50" s="136"/>
      <x:c r="X50" s="136"/>
      <x:c r="Y50" s="136"/>
      <x:c r="Z50" s="136"/>
    </x:row>
    <x:row r="51">
      <x:c r="A51" s="136"/>
      <x:c r="B51" s="136"/>
      <x:c r="C51" s="136"/>
      <x:c r="D51" s="136"/>
      <x:c r="E51" s="136"/>
      <x:c r="F51" s="136"/>
      <x:c r="G51" s="136"/>
      <x:c r="H51" s="136"/>
      <x:c r="I51" s="136"/>
      <x:c r="J51" s="136"/>
      <x:c r="K51" s="136"/>
      <x:c r="L51" s="136"/>
      <x:c r="M51" s="136"/>
      <x:c r="N51" s="136"/>
      <x:c r="O51" s="136"/>
      <x:c r="P51" s="136"/>
      <x:c r="Q51" s="136"/>
      <x:c r="R51" s="136"/>
      <x:c r="S51" s="136"/>
      <x:c r="T51" s="136"/>
      <x:c r="U51" s="136"/>
      <x:c r="V51" s="136"/>
      <x:c r="W51" s="136"/>
      <x:c r="X51" s="136"/>
      <x:c r="Y51" s="136"/>
      <x:c r="Z51" s="136"/>
    </x:row>
    <x:row r="52">
      <x:c r="A52" s="136"/>
      <x:c r="B52" s="136"/>
      <x:c r="C52" s="136"/>
      <x:c r="D52" s="136"/>
      <x:c r="E52" s="136"/>
      <x:c r="F52" s="136"/>
      <x:c r="G52" s="136"/>
      <x:c r="H52" s="136"/>
      <x:c r="I52" s="136"/>
      <x:c r="J52" s="136"/>
      <x:c r="K52" s="136"/>
      <x:c r="L52" s="136"/>
      <x:c r="M52" s="136"/>
      <x:c r="N52" s="136"/>
      <x:c r="O52" s="136"/>
      <x:c r="P52" s="136"/>
      <x:c r="Q52" s="136"/>
      <x:c r="R52" s="136"/>
      <x:c r="S52" s="136"/>
      <x:c r="T52" s="136"/>
      <x:c r="U52" s="136"/>
      <x:c r="V52" s="136"/>
      <x:c r="W52" s="136"/>
      <x:c r="X52" s="136"/>
      <x:c r="Y52" s="136"/>
      <x:c r="Z52" s="136"/>
    </x:row>
    <x:row r="53">
      <x:c r="A53" s="136"/>
      <x:c r="B53" s="136"/>
      <x:c r="C53" s="136"/>
      <x:c r="D53" s="136"/>
      <x:c r="E53" s="136"/>
      <x:c r="F53" s="136"/>
      <x:c r="G53" s="136"/>
      <x:c r="H53" s="136"/>
      <x:c r="I53" s="136"/>
      <x:c r="J53" s="136"/>
      <x:c r="K53" s="136"/>
      <x:c r="L53" s="136"/>
      <x:c r="M53" s="136"/>
      <x:c r="N53" s="136"/>
      <x:c r="O53" s="136"/>
      <x:c r="P53" s="136"/>
      <x:c r="Q53" s="136"/>
      <x:c r="R53" s="136"/>
      <x:c r="S53" s="136"/>
      <x:c r="T53" s="136"/>
      <x:c r="U53" s="136"/>
      <x:c r="V53" s="136"/>
      <x:c r="W53" s="136"/>
      <x:c r="X53" s="136"/>
      <x:c r="Y53" s="136"/>
      <x:c r="Z53" s="136"/>
    </x:row>
    <x:row r="54">
      <x:c r="A54" s="136"/>
      <x:c r="B54" s="136"/>
      <x:c r="C54" s="136"/>
      <x:c r="D54" s="136"/>
      <x:c r="E54" s="136"/>
      <x:c r="F54" s="136"/>
      <x:c r="G54" s="136"/>
      <x:c r="H54" s="136"/>
      <x:c r="I54" s="136"/>
      <x:c r="J54" s="136"/>
      <x:c r="K54" s="136"/>
      <x:c r="L54" s="136"/>
      <x:c r="M54" s="136"/>
      <x:c r="N54" s="136"/>
      <x:c r="O54" s="136"/>
      <x:c r="P54" s="136"/>
      <x:c r="Q54" s="136"/>
      <x:c r="R54" s="136"/>
      <x:c r="S54" s="136"/>
      <x:c r="T54" s="136"/>
      <x:c r="U54" s="136"/>
      <x:c r="V54" s="136"/>
      <x:c r="W54" s="136"/>
      <x:c r="X54" s="136"/>
      <x:c r="Y54" s="136"/>
      <x:c r="Z54" s="136"/>
    </x:row>
    <x:row r="55">
      <x:c r="A55" s="136"/>
      <x:c r="B55" s="136"/>
      <x:c r="C55" s="136"/>
      <x:c r="D55" s="136"/>
      <x:c r="E55" s="136"/>
      <x:c r="F55" s="136"/>
      <x:c r="G55" s="136"/>
      <x:c r="H55" s="136"/>
      <x:c r="I55" s="136"/>
      <x:c r="J55" s="136"/>
      <x:c r="K55" s="136"/>
      <x:c r="L55" s="136"/>
      <x:c r="M55" s="136"/>
      <x:c r="N55" s="136"/>
      <x:c r="O55" s="136"/>
      <x:c r="P55" s="136"/>
      <x:c r="Q55" s="136"/>
      <x:c r="R55" s="136"/>
      <x:c r="S55" s="136"/>
      <x:c r="T55" s="136"/>
      <x:c r="U55" s="136"/>
      <x:c r="V55" s="136"/>
      <x:c r="W55" s="136"/>
      <x:c r="X55" s="136"/>
      <x:c r="Y55" s="136"/>
      <x:c r="Z55" s="136"/>
    </x:row>
    <x:row r="56">
      <x:c r="A56" s="136"/>
      <x:c r="B56" s="136"/>
      <x:c r="C56" s="136"/>
      <x:c r="D56" s="136"/>
      <x:c r="E56" s="136"/>
      <x:c r="F56" s="136"/>
      <x:c r="G56" s="136"/>
      <x:c r="H56" s="136"/>
      <x:c r="I56" s="136"/>
      <x:c r="J56" s="136"/>
      <x:c r="K56" s="136"/>
      <x:c r="L56" s="136"/>
      <x:c r="M56" s="136"/>
      <x:c r="N56" s="136"/>
      <x:c r="O56" s="136"/>
      <x:c r="P56" s="136"/>
      <x:c r="Q56" s="136"/>
      <x:c r="R56" s="136"/>
      <x:c r="S56" s="136"/>
      <x:c r="T56" s="136"/>
      <x:c r="U56" s="136"/>
      <x:c r="V56" s="136"/>
      <x:c r="W56" s="136"/>
      <x:c r="X56" s="136"/>
      <x:c r="Y56" s="136"/>
      <x:c r="Z56" s="136"/>
    </x:row>
    <x:row r="57">
      <x:c r="A57" s="136"/>
      <x:c r="B57" s="136"/>
      <x:c r="C57" s="136"/>
      <x:c r="D57" s="136"/>
      <x:c r="E57" s="136"/>
      <x:c r="F57" s="136"/>
      <x:c r="G57" s="136"/>
      <x:c r="H57" s="136"/>
      <x:c r="I57" s="136"/>
      <x:c r="J57" s="136"/>
      <x:c r="K57" s="136"/>
      <x:c r="L57" s="136"/>
      <x:c r="M57" s="136"/>
      <x:c r="N57" s="136"/>
      <x:c r="O57" s="136"/>
      <x:c r="P57" s="136"/>
      <x:c r="Q57" s="136"/>
      <x:c r="R57" s="136"/>
      <x:c r="S57" s="136"/>
      <x:c r="T57" s="136"/>
      <x:c r="U57" s="136"/>
      <x:c r="V57" s="136"/>
      <x:c r="W57" s="136"/>
      <x:c r="X57" s="136"/>
      <x:c r="Y57" s="136"/>
      <x:c r="Z57" s="136"/>
    </x:row>
    <x:row r="58">
      <x:c r="A58" s="136"/>
      <x:c r="B58" s="136"/>
      <x:c r="C58" s="136"/>
      <x:c r="D58" s="136"/>
      <x:c r="E58" s="136"/>
      <x:c r="F58" s="136"/>
      <x:c r="G58" s="136"/>
      <x:c r="H58" s="136"/>
      <x:c r="I58" s="136"/>
      <x:c r="J58" s="136"/>
      <x:c r="K58" s="136"/>
      <x:c r="L58" s="136"/>
      <x:c r="M58" s="136"/>
      <x:c r="N58" s="136"/>
      <x:c r="O58" s="136"/>
      <x:c r="P58" s="136"/>
      <x:c r="Q58" s="136"/>
      <x:c r="R58" s="136"/>
      <x:c r="S58" s="136"/>
      <x:c r="T58" s="136"/>
      <x:c r="U58" s="136"/>
      <x:c r="V58" s="136"/>
      <x:c r="W58" s="136"/>
      <x:c r="X58" s="136"/>
      <x:c r="Y58" s="136"/>
      <x:c r="Z58" s="136"/>
    </x:row>
    <x:row r="59">
      <x:c r="A59" s="136"/>
      <x:c r="B59" s="136"/>
      <x:c r="C59" s="136"/>
      <x:c r="D59" s="136"/>
      <x:c r="E59" s="136"/>
      <x:c r="F59" s="136"/>
      <x:c r="G59" s="136"/>
      <x:c r="H59" s="136"/>
      <x:c r="I59" s="136"/>
      <x:c r="J59" s="136"/>
      <x:c r="K59" s="136"/>
      <x:c r="L59" s="136"/>
      <x:c r="M59" s="136"/>
      <x:c r="N59" s="136"/>
      <x:c r="O59" s="136"/>
      <x:c r="P59" s="136"/>
      <x:c r="Q59" s="136"/>
      <x:c r="R59" s="136"/>
      <x:c r="S59" s="136"/>
      <x:c r="T59" s="136"/>
      <x:c r="U59" s="136"/>
      <x:c r="V59" s="136"/>
      <x:c r="W59" s="136"/>
      <x:c r="X59" s="136"/>
      <x:c r="Y59" s="136"/>
      <x:c r="Z59" s="136"/>
    </x:row>
    <x:row r="60">
      <x:c r="A60" s="136"/>
      <x:c r="B60" s="136"/>
      <x:c r="C60" s="136"/>
      <x:c r="D60" s="136"/>
      <x:c r="E60" s="136"/>
      <x:c r="F60" s="136"/>
      <x:c r="G60" s="136"/>
      <x:c r="H60" s="136"/>
      <x:c r="I60" s="136"/>
      <x:c r="J60" s="136"/>
      <x:c r="K60" s="136"/>
      <x:c r="L60" s="136"/>
      <x:c r="M60" s="136"/>
      <x:c r="N60" s="136"/>
      <x:c r="O60" s="136"/>
      <x:c r="P60" s="136"/>
      <x:c r="Q60" s="136"/>
      <x:c r="R60" s="136"/>
      <x:c r="S60" s="136"/>
      <x:c r="T60" s="136"/>
      <x:c r="U60" s="136"/>
      <x:c r="V60" s="136"/>
      <x:c r="W60" s="136"/>
      <x:c r="X60" s="136"/>
      <x:c r="Y60" s="136"/>
      <x:c r="Z60" s="136"/>
    </x:row>
    <x:row r="61">
      <x:c r="A61" s="136"/>
      <x:c r="B61" s="136"/>
      <x:c r="C61" s="136"/>
      <x:c r="D61" s="136"/>
      <x:c r="E61" s="136"/>
      <x:c r="F61" s="136"/>
      <x:c r="G61" s="136"/>
      <x:c r="H61" s="136"/>
      <x:c r="I61" s="136"/>
      <x:c r="J61" s="136"/>
      <x:c r="K61" s="136"/>
      <x:c r="L61" s="136"/>
      <x:c r="M61" s="136"/>
      <x:c r="N61" s="136"/>
      <x:c r="O61" s="136"/>
      <x:c r="P61" s="136"/>
      <x:c r="Q61" s="136"/>
      <x:c r="R61" s="136"/>
      <x:c r="S61" s="136"/>
      <x:c r="T61" s="136"/>
      <x:c r="U61" s="136"/>
      <x:c r="V61" s="136"/>
      <x:c r="W61" s="136"/>
      <x:c r="X61" s="136"/>
      <x:c r="Y61" s="136"/>
      <x:c r="Z61" s="136"/>
    </x:row>
    <x:row r="62">
      <x:c r="A62" s="136"/>
      <x:c r="B62" s="136"/>
      <x:c r="C62" s="136"/>
      <x:c r="D62" s="136"/>
      <x:c r="E62" s="136"/>
      <x:c r="F62" s="136"/>
      <x:c r="G62" s="136"/>
      <x:c r="H62" s="136"/>
      <x:c r="I62" s="136"/>
      <x:c r="J62" s="136"/>
      <x:c r="K62" s="136"/>
      <x:c r="L62" s="136"/>
      <x:c r="M62" s="136"/>
      <x:c r="N62" s="136"/>
      <x:c r="O62" s="136"/>
      <x:c r="P62" s="136"/>
      <x:c r="Q62" s="136"/>
      <x:c r="R62" s="136"/>
      <x:c r="S62" s="136"/>
      <x:c r="T62" s="136"/>
      <x:c r="U62" s="136"/>
      <x:c r="V62" s="136"/>
      <x:c r="W62" s="136"/>
      <x:c r="X62" s="136"/>
      <x:c r="Y62" s="136"/>
      <x:c r="Z62" s="136"/>
    </x:row>
    <x:row r="63">
      <x:c r="A63" s="136"/>
      <x:c r="B63" s="136"/>
      <x:c r="C63" s="136"/>
      <x:c r="D63" s="136"/>
      <x:c r="E63" s="136"/>
      <x:c r="F63" s="136"/>
      <x:c r="G63" s="136"/>
      <x:c r="H63" s="136"/>
      <x:c r="I63" s="136"/>
      <x:c r="J63" s="136"/>
      <x:c r="K63" s="136"/>
      <x:c r="L63" s="136"/>
      <x:c r="M63" s="136"/>
      <x:c r="N63" s="136"/>
      <x:c r="O63" s="136"/>
      <x:c r="P63" s="136"/>
      <x:c r="Q63" s="136"/>
      <x:c r="R63" s="136"/>
      <x:c r="S63" s="136"/>
      <x:c r="T63" s="136"/>
      <x:c r="U63" s="136"/>
      <x:c r="V63" s="136"/>
      <x:c r="W63" s="136"/>
      <x:c r="X63" s="136"/>
      <x:c r="Y63" s="136"/>
      <x:c r="Z63" s="136"/>
    </x:row>
    <x:row r="64">
      <x:c r="A64" s="136"/>
      <x:c r="B64" s="136"/>
      <x:c r="C64" s="136"/>
      <x:c r="D64" s="136"/>
      <x:c r="E64" s="136"/>
      <x:c r="F64" s="136"/>
      <x:c r="G64" s="136"/>
      <x:c r="H64" s="136"/>
      <x:c r="I64" s="136"/>
      <x:c r="J64" s="136"/>
      <x:c r="K64" s="136"/>
      <x:c r="L64" s="136"/>
      <x:c r="M64" s="136"/>
      <x:c r="N64" s="136"/>
      <x:c r="O64" s="136"/>
      <x:c r="P64" s="136"/>
      <x:c r="Q64" s="136"/>
      <x:c r="R64" s="136"/>
      <x:c r="S64" s="136"/>
      <x:c r="T64" s="136"/>
      <x:c r="U64" s="136"/>
      <x:c r="V64" s="136"/>
      <x:c r="W64" s="136"/>
      <x:c r="X64" s="136"/>
      <x:c r="Y64" s="136"/>
      <x:c r="Z64" s="136"/>
    </x:row>
    <x:row r="65">
      <x:c r="A65" s="136"/>
      <x:c r="B65" s="136"/>
      <x:c r="C65" s="136"/>
      <x:c r="D65" s="136"/>
      <x:c r="E65" s="136"/>
      <x:c r="F65" s="136"/>
      <x:c r="G65" s="136"/>
      <x:c r="H65" s="136"/>
      <x:c r="I65" s="136"/>
      <x:c r="J65" s="136"/>
      <x:c r="K65" s="136"/>
      <x:c r="L65" s="136"/>
      <x:c r="M65" s="136"/>
      <x:c r="N65" s="136"/>
      <x:c r="O65" s="136"/>
      <x:c r="P65" s="136"/>
      <x:c r="Q65" s="136"/>
      <x:c r="R65" s="136"/>
      <x:c r="S65" s="136"/>
      <x:c r="T65" s="136"/>
      <x:c r="U65" s="136"/>
      <x:c r="V65" s="136"/>
      <x:c r="W65" s="136"/>
      <x:c r="X65" s="136"/>
      <x:c r="Y65" s="136"/>
      <x:c r="Z65" s="136"/>
    </x:row>
    <x:row r="66">
      <x:c r="A66" s="136"/>
      <x:c r="B66" s="136"/>
      <x:c r="C66" s="136"/>
      <x:c r="D66" s="136"/>
      <x:c r="E66" s="136"/>
      <x:c r="F66" s="136"/>
      <x:c r="G66" s="136"/>
      <x:c r="H66" s="136"/>
      <x:c r="I66" s="136"/>
      <x:c r="J66" s="136"/>
      <x:c r="K66" s="136"/>
      <x:c r="L66" s="136"/>
      <x:c r="M66" s="136"/>
      <x:c r="N66" s="136"/>
      <x:c r="O66" s="136"/>
      <x:c r="P66" s="136"/>
      <x:c r="Q66" s="136"/>
      <x:c r="R66" s="136"/>
      <x:c r="S66" s="136"/>
      <x:c r="T66" s="136"/>
      <x:c r="U66" s="136"/>
      <x:c r="V66" s="136"/>
      <x:c r="W66" s="136"/>
      <x:c r="X66" s="136"/>
      <x:c r="Y66" s="136"/>
      <x:c r="Z66" s="136"/>
    </x:row>
    <x:row r="67">
      <x:c r="A67" s="136"/>
      <x:c r="B67" s="136"/>
      <x:c r="C67" s="136"/>
      <x:c r="D67" s="136"/>
      <x:c r="E67" s="136"/>
      <x:c r="F67" s="136"/>
      <x:c r="G67" s="136"/>
      <x:c r="H67" s="136"/>
      <x:c r="I67" s="136"/>
      <x:c r="J67" s="136"/>
      <x:c r="K67" s="136"/>
      <x:c r="L67" s="136"/>
      <x:c r="M67" s="136"/>
      <x:c r="N67" s="136"/>
      <x:c r="O67" s="136"/>
      <x:c r="P67" s="136"/>
      <x:c r="Q67" s="136"/>
      <x:c r="R67" s="136"/>
      <x:c r="S67" s="136"/>
      <x:c r="T67" s="136"/>
      <x:c r="U67" s="136"/>
      <x:c r="V67" s="136"/>
      <x:c r="W67" s="136"/>
      <x:c r="X67" s="136"/>
      <x:c r="Y67" s="136"/>
      <x:c r="Z67" s="136"/>
    </x:row>
    <x:row r="68">
      <x:c r="A68" s="136"/>
      <x:c r="B68" s="136"/>
      <x:c r="C68" s="136"/>
      <x:c r="D68" s="136"/>
      <x:c r="E68" s="136"/>
      <x:c r="F68" s="136"/>
      <x:c r="G68" s="136"/>
      <x:c r="H68" s="136"/>
      <x:c r="I68" s="136"/>
      <x:c r="J68" s="136"/>
      <x:c r="K68" s="136"/>
      <x:c r="L68" s="136"/>
      <x:c r="M68" s="136"/>
      <x:c r="N68" s="136"/>
      <x:c r="O68" s="136"/>
      <x:c r="P68" s="136"/>
      <x:c r="Q68" s="136"/>
      <x:c r="R68" s="136"/>
      <x:c r="S68" s="136"/>
      <x:c r="T68" s="136"/>
      <x:c r="U68" s="136"/>
      <x:c r="V68" s="136"/>
      <x:c r="W68" s="136"/>
      <x:c r="X68" s="136"/>
      <x:c r="Y68" s="136"/>
      <x:c r="Z68" s="136"/>
    </x:row>
    <x:row r="69">
      <x:c r="A69" s="136"/>
      <x:c r="B69" s="136"/>
      <x:c r="C69" s="136"/>
      <x:c r="D69" s="136"/>
      <x:c r="E69" s="136"/>
      <x:c r="F69" s="136"/>
      <x:c r="G69" s="136"/>
      <x:c r="H69" s="136"/>
      <x:c r="I69" s="136"/>
      <x:c r="J69" s="136"/>
      <x:c r="K69" s="136"/>
      <x:c r="L69" s="136"/>
      <x:c r="M69" s="136"/>
      <x:c r="N69" s="136"/>
      <x:c r="O69" s="136"/>
      <x:c r="P69" s="136"/>
      <x:c r="Q69" s="136"/>
      <x:c r="R69" s="136"/>
      <x:c r="S69" s="136"/>
      <x:c r="T69" s="136"/>
      <x:c r="U69" s="136"/>
      <x:c r="V69" s="136"/>
      <x:c r="W69" s="136"/>
      <x:c r="X69" s="136"/>
      <x:c r="Y69" s="136"/>
      <x:c r="Z69" s="136"/>
    </x:row>
    <x:row r="70">
      <x:c r="A70" s="136"/>
      <x:c r="B70" s="136"/>
      <x:c r="C70" s="136"/>
      <x:c r="D70" s="136"/>
      <x:c r="E70" s="136"/>
      <x:c r="F70" s="136"/>
      <x:c r="G70" s="136"/>
      <x:c r="H70" s="136"/>
      <x:c r="I70" s="136"/>
      <x:c r="J70" s="136"/>
      <x:c r="K70" s="136"/>
      <x:c r="L70" s="136"/>
      <x:c r="M70" s="136"/>
      <x:c r="N70" s="136"/>
      <x:c r="O70" s="136"/>
      <x:c r="P70" s="136"/>
      <x:c r="Q70" s="136"/>
      <x:c r="R70" s="136"/>
      <x:c r="S70" s="136"/>
      <x:c r="T70" s="136"/>
      <x:c r="U70" s="136"/>
      <x:c r="V70" s="136"/>
      <x:c r="W70" s="136"/>
      <x:c r="X70" s="136"/>
      <x:c r="Y70" s="136"/>
      <x:c r="Z70" s="136"/>
    </x:row>
    <x:row r="71">
      <x:c r="A71" s="136"/>
      <x:c r="B71" s="136"/>
      <x:c r="C71" s="136"/>
      <x:c r="D71" s="136"/>
      <x:c r="E71" s="136"/>
      <x:c r="F71" s="136"/>
      <x:c r="G71" s="136"/>
      <x:c r="H71" s="136"/>
      <x:c r="I71" s="136"/>
      <x:c r="J71" s="136"/>
      <x:c r="K71" s="136"/>
      <x:c r="L71" s="136"/>
      <x:c r="M71" s="136"/>
      <x:c r="N71" s="136"/>
      <x:c r="O71" s="136"/>
      <x:c r="P71" s="136"/>
      <x:c r="Q71" s="136"/>
      <x:c r="R71" s="136"/>
      <x:c r="S71" s="136"/>
      <x:c r="T71" s="136"/>
      <x:c r="U71" s="136"/>
      <x:c r="V71" s="136"/>
      <x:c r="W71" s="136"/>
      <x:c r="X71" s="136"/>
      <x:c r="Y71" s="136"/>
      <x:c r="Z71" s="136"/>
    </x:row>
    <x:row r="72">
      <x:c r="A72" s="136"/>
      <x:c r="B72" s="136"/>
      <x:c r="C72" s="136"/>
      <x:c r="D72" s="136"/>
      <x:c r="E72" s="136"/>
      <x:c r="F72" s="136"/>
      <x:c r="G72" s="136"/>
      <x:c r="H72" s="136"/>
      <x:c r="I72" s="136"/>
      <x:c r="J72" s="136"/>
      <x:c r="K72" s="136"/>
      <x:c r="L72" s="136"/>
      <x:c r="M72" s="136"/>
      <x:c r="N72" s="136"/>
      <x:c r="O72" s="136"/>
      <x:c r="P72" s="136"/>
      <x:c r="Q72" s="136"/>
      <x:c r="R72" s="136"/>
      <x:c r="S72" s="136"/>
      <x:c r="T72" s="136"/>
      <x:c r="U72" s="136"/>
      <x:c r="V72" s="136"/>
      <x:c r="W72" s="136"/>
      <x:c r="X72" s="136"/>
      <x:c r="Y72" s="136"/>
      <x:c r="Z72" s="136"/>
    </x:row>
    <x:row r="73">
      <x:c r="A73" s="136"/>
      <x:c r="B73" s="136"/>
      <x:c r="C73" s="136"/>
      <x:c r="D73" s="136"/>
      <x:c r="E73" s="136"/>
      <x:c r="F73" s="136"/>
      <x:c r="G73" s="136"/>
      <x:c r="H73" s="136"/>
      <x:c r="I73" s="136"/>
      <x:c r="J73" s="136"/>
      <x:c r="K73" s="136"/>
      <x:c r="L73" s="136"/>
      <x:c r="M73" s="136"/>
      <x:c r="N73" s="136"/>
      <x:c r="O73" s="136"/>
      <x:c r="P73" s="136"/>
      <x:c r="Q73" s="136"/>
      <x:c r="R73" s="136"/>
      <x:c r="S73" s="136"/>
      <x:c r="T73" s="136"/>
      <x:c r="U73" s="136"/>
      <x:c r="V73" s="136"/>
      <x:c r="W73" s="136"/>
      <x:c r="X73" s="136"/>
      <x:c r="Y73" s="136"/>
      <x:c r="Z73" s="136"/>
    </x:row>
    <x:row r="74">
      <x:c r="A74" s="136"/>
      <x:c r="B74" s="136"/>
      <x:c r="C74" s="136"/>
      <x:c r="D74" s="136"/>
      <x:c r="E74" s="136"/>
      <x:c r="F74" s="136"/>
      <x:c r="G74" s="136"/>
      <x:c r="H74" s="136"/>
      <x:c r="I74" s="136"/>
      <x:c r="J74" s="136"/>
      <x:c r="K74" s="136"/>
      <x:c r="L74" s="136"/>
      <x:c r="M74" s="136"/>
      <x:c r="N74" s="136"/>
      <x:c r="O74" s="136"/>
      <x:c r="P74" s="136"/>
      <x:c r="Q74" s="136"/>
      <x:c r="R74" s="136"/>
      <x:c r="S74" s="136"/>
      <x:c r="T74" s="136"/>
      <x:c r="U74" s="136"/>
      <x:c r="V74" s="136"/>
      <x:c r="W74" s="136"/>
      <x:c r="X74" s="136"/>
      <x:c r="Y74" s="136"/>
      <x:c r="Z74" s="136"/>
    </x:row>
    <x:row r="75">
      <x:c r="A75" s="136"/>
      <x:c r="B75" s="136"/>
      <x:c r="C75" s="136"/>
      <x:c r="D75" s="136"/>
      <x:c r="E75" s="136"/>
      <x:c r="F75" s="136"/>
      <x:c r="G75" s="136"/>
      <x:c r="H75" s="136"/>
      <x:c r="I75" s="136"/>
      <x:c r="J75" s="136"/>
      <x:c r="K75" s="136"/>
      <x:c r="L75" s="136"/>
      <x:c r="M75" s="136"/>
      <x:c r="N75" s="136"/>
      <x:c r="O75" s="136"/>
      <x:c r="P75" s="136"/>
      <x:c r="Q75" s="136"/>
      <x:c r="R75" s="136"/>
      <x:c r="S75" s="136"/>
      <x:c r="T75" s="136"/>
      <x:c r="U75" s="136"/>
      <x:c r="V75" s="136"/>
      <x:c r="W75" s="136"/>
      <x:c r="X75" s="136"/>
      <x:c r="Y75" s="136"/>
      <x:c r="Z75" s="136"/>
    </x:row>
    <x:row r="76">
      <x:c r="A76" s="136"/>
      <x:c r="B76" s="136"/>
      <x:c r="C76" s="136"/>
      <x:c r="D76" s="136"/>
      <x:c r="E76" s="136"/>
      <x:c r="F76" s="136"/>
      <x:c r="G76" s="136"/>
      <x:c r="H76" s="136"/>
      <x:c r="I76" s="136"/>
      <x:c r="J76" s="136"/>
      <x:c r="K76" s="136"/>
      <x:c r="L76" s="136"/>
      <x:c r="M76" s="136"/>
      <x:c r="N76" s="136"/>
      <x:c r="O76" s="136"/>
      <x:c r="P76" s="136"/>
      <x:c r="Q76" s="136"/>
      <x:c r="R76" s="136"/>
      <x:c r="S76" s="136"/>
      <x:c r="T76" s="136"/>
      <x:c r="U76" s="136"/>
      <x:c r="V76" s="136"/>
      <x:c r="W76" s="136"/>
      <x:c r="X76" s="136"/>
      <x:c r="Y76" s="136"/>
      <x:c r="Z76" s="136"/>
    </x:row>
    <x:row r="77">
      <x:c r="A77" s="136"/>
      <x:c r="B77" s="136"/>
      <x:c r="C77" s="136"/>
      <x:c r="D77" s="136"/>
      <x:c r="E77" s="136"/>
      <x:c r="F77" s="136"/>
      <x:c r="G77" s="136"/>
      <x:c r="H77" s="136"/>
      <x:c r="I77" s="136"/>
      <x:c r="J77" s="136"/>
      <x:c r="K77" s="136"/>
      <x:c r="L77" s="136"/>
      <x:c r="M77" s="136"/>
      <x:c r="N77" s="136"/>
      <x:c r="O77" s="136"/>
      <x:c r="P77" s="136"/>
      <x:c r="Q77" s="136"/>
      <x:c r="R77" s="136"/>
      <x:c r="S77" s="136"/>
      <x:c r="T77" s="136"/>
      <x:c r="U77" s="136"/>
      <x:c r="V77" s="136"/>
      <x:c r="W77" s="136"/>
      <x:c r="X77" s="136"/>
      <x:c r="Y77" s="136"/>
      <x:c r="Z77" s="136"/>
    </x:row>
    <x:row r="78">
      <x:c r="A78" s="136"/>
      <x:c r="B78" s="136"/>
      <x:c r="C78" s="136"/>
      <x:c r="D78" s="136"/>
      <x:c r="E78" s="136"/>
      <x:c r="F78" s="136"/>
      <x:c r="G78" s="136"/>
      <x:c r="H78" s="136"/>
      <x:c r="I78" s="136"/>
      <x:c r="J78" s="136"/>
      <x:c r="K78" s="136"/>
      <x:c r="L78" s="136"/>
      <x:c r="M78" s="136"/>
      <x:c r="N78" s="136"/>
      <x:c r="O78" s="136"/>
      <x:c r="P78" s="136"/>
      <x:c r="Q78" s="136"/>
      <x:c r="R78" s="136"/>
      <x:c r="S78" s="136"/>
      <x:c r="T78" s="136"/>
      <x:c r="U78" s="136"/>
      <x:c r="V78" s="136"/>
      <x:c r="W78" s="136"/>
      <x:c r="X78" s="136"/>
      <x:c r="Y78" s="136"/>
      <x:c r="Z78" s="136"/>
    </x:row>
    <x:row r="79">
      <x:c r="A79" s="136"/>
      <x:c r="B79" s="136"/>
      <x:c r="C79" s="136"/>
      <x:c r="D79" s="136"/>
      <x:c r="E79" s="136"/>
      <x:c r="F79" s="136"/>
      <x:c r="G79" s="136"/>
      <x:c r="H79" s="136"/>
      <x:c r="I79" s="136"/>
      <x:c r="J79" s="136"/>
      <x:c r="K79" s="136"/>
      <x:c r="L79" s="136"/>
      <x:c r="M79" s="136"/>
      <x:c r="N79" s="136"/>
      <x:c r="O79" s="136"/>
      <x:c r="P79" s="136"/>
      <x:c r="Q79" s="136"/>
      <x:c r="R79" s="136"/>
      <x:c r="S79" s="136"/>
      <x:c r="T79" s="136"/>
      <x:c r="U79" s="136"/>
      <x:c r="V79" s="136"/>
      <x:c r="W79" s="136"/>
      <x:c r="X79" s="136"/>
      <x:c r="Y79" s="136"/>
      <x:c r="Z79" s="136"/>
    </x:row>
    <x:row r="80">
      <x:c r="A80" s="136"/>
      <x:c r="B80" s="136"/>
      <x:c r="C80" s="136"/>
      <x:c r="D80" s="136"/>
      <x:c r="E80" s="136"/>
      <x:c r="F80" s="136"/>
      <x:c r="G80" s="136"/>
      <x:c r="H80" s="136"/>
      <x:c r="I80" s="136"/>
      <x:c r="J80" s="136"/>
      <x:c r="K80" s="136"/>
      <x:c r="L80" s="136"/>
      <x:c r="M80" s="136"/>
      <x:c r="N80" s="136"/>
      <x:c r="O80" s="136"/>
      <x:c r="P80" s="136"/>
      <x:c r="Q80" s="136"/>
      <x:c r="R80" s="136"/>
      <x:c r="S80" s="136"/>
      <x:c r="T80" s="136"/>
      <x:c r="U80" s="136"/>
      <x:c r="V80" s="136"/>
      <x:c r="W80" s="136"/>
      <x:c r="X80" s="136"/>
      <x:c r="Y80" s="136"/>
      <x:c r="Z80" s="136"/>
    </x:row>
    <x:row r="81">
      <x:c r="A81" s="136"/>
      <x:c r="B81" s="136"/>
      <x:c r="C81" s="136"/>
      <x:c r="D81" s="136"/>
      <x:c r="E81" s="136"/>
      <x:c r="F81" s="136"/>
      <x:c r="G81" s="136"/>
      <x:c r="H81" s="136"/>
      <x:c r="I81" s="136"/>
      <x:c r="J81" s="136"/>
      <x:c r="K81" s="136"/>
      <x:c r="L81" s="136"/>
      <x:c r="M81" s="136"/>
      <x:c r="N81" s="136"/>
      <x:c r="O81" s="136"/>
      <x:c r="P81" s="136"/>
      <x:c r="Q81" s="136"/>
      <x:c r="R81" s="136"/>
      <x:c r="S81" s="136"/>
      <x:c r="T81" s="136"/>
      <x:c r="U81" s="136"/>
      <x:c r="V81" s="136"/>
      <x:c r="W81" s="136"/>
      <x:c r="X81" s="136"/>
      <x:c r="Y81" s="136"/>
      <x:c r="Z81" s="136"/>
    </x:row>
    <x:row r="82">
      <x:c r="A82" s="136"/>
      <x:c r="B82" s="136"/>
      <x:c r="C82" s="136"/>
      <x:c r="D82" s="136"/>
      <x:c r="E82" s="136"/>
      <x:c r="F82" s="136"/>
      <x:c r="G82" s="136"/>
      <x:c r="H82" s="136"/>
      <x:c r="I82" s="136"/>
      <x:c r="J82" s="136"/>
      <x:c r="K82" s="136"/>
      <x:c r="L82" s="136"/>
      <x:c r="M82" s="136"/>
      <x:c r="N82" s="136"/>
      <x:c r="O82" s="136"/>
      <x:c r="P82" s="136"/>
      <x:c r="Q82" s="136"/>
      <x:c r="R82" s="136"/>
      <x:c r="S82" s="136"/>
      <x:c r="T82" s="136"/>
      <x:c r="U82" s="136"/>
      <x:c r="V82" s="136"/>
      <x:c r="W82" s="136"/>
      <x:c r="X82" s="136"/>
      <x:c r="Y82" s="136"/>
      <x:c r="Z82" s="136"/>
    </x:row>
    <x:row r="83">
      <x:c r="A83" s="136"/>
      <x:c r="B83" s="136"/>
      <x:c r="C83" s="136"/>
      <x:c r="D83" s="136"/>
      <x:c r="E83" s="136"/>
      <x:c r="F83" s="136"/>
      <x:c r="G83" s="136"/>
      <x:c r="H83" s="136"/>
      <x:c r="I83" s="136"/>
      <x:c r="J83" s="136"/>
      <x:c r="K83" s="136"/>
      <x:c r="L83" s="136"/>
      <x:c r="M83" s="136"/>
      <x:c r="N83" s="136"/>
      <x:c r="O83" s="136"/>
      <x:c r="P83" s="136"/>
      <x:c r="Q83" s="136"/>
      <x:c r="R83" s="136"/>
      <x:c r="S83" s="136"/>
      <x:c r="T83" s="136"/>
      <x:c r="U83" s="136"/>
      <x:c r="V83" s="136"/>
      <x:c r="W83" s="136"/>
      <x:c r="X83" s="136"/>
      <x:c r="Y83" s="136"/>
      <x:c r="Z83" s="136"/>
    </x:row>
    <x:row r="84">
      <x:c r="A84" s="136"/>
      <x:c r="B84" s="136"/>
      <x:c r="C84" s="136"/>
      <x:c r="D84" s="136"/>
      <x:c r="E84" s="136"/>
      <x:c r="F84" s="136"/>
      <x:c r="G84" s="136"/>
      <x:c r="H84" s="136"/>
      <x:c r="I84" s="136"/>
      <x:c r="J84" s="136"/>
      <x:c r="K84" s="136"/>
      <x:c r="L84" s="136"/>
      <x:c r="M84" s="136"/>
      <x:c r="N84" s="136"/>
      <x:c r="O84" s="136"/>
      <x:c r="P84" s="136"/>
      <x:c r="Q84" s="136"/>
      <x:c r="R84" s="136"/>
      <x:c r="S84" s="136"/>
      <x:c r="T84" s="136"/>
      <x:c r="U84" s="136"/>
      <x:c r="V84" s="136"/>
      <x:c r="W84" s="136"/>
      <x:c r="X84" s="136"/>
      <x:c r="Y84" s="136"/>
      <x:c r="Z84" s="136"/>
    </x:row>
    <x:row r="85">
      <x:c r="A85" s="136"/>
      <x:c r="B85" s="136"/>
      <x:c r="C85" s="136"/>
      <x:c r="D85" s="136"/>
      <x:c r="E85" s="136"/>
      <x:c r="F85" s="136"/>
      <x:c r="G85" s="136"/>
      <x:c r="H85" s="136"/>
      <x:c r="I85" s="136"/>
      <x:c r="J85" s="136"/>
      <x:c r="K85" s="136"/>
      <x:c r="L85" s="136"/>
      <x:c r="M85" s="136"/>
      <x:c r="N85" s="136"/>
      <x:c r="O85" s="136"/>
      <x:c r="P85" s="136"/>
      <x:c r="Q85" s="136"/>
      <x:c r="R85" s="136"/>
      <x:c r="S85" s="136"/>
      <x:c r="T85" s="136"/>
      <x:c r="U85" s="136"/>
      <x:c r="V85" s="136"/>
      <x:c r="W85" s="136"/>
      <x:c r="X85" s="136"/>
      <x:c r="Y85" s="136"/>
      <x:c r="Z85" s="136"/>
    </x:row>
    <x:row r="86">
      <x:c r="A86" s="136"/>
      <x:c r="B86" s="136"/>
      <x:c r="C86" s="136"/>
      <x:c r="D86" s="136"/>
      <x:c r="E86" s="136"/>
      <x:c r="F86" s="136"/>
      <x:c r="G86" s="136"/>
      <x:c r="H86" s="136"/>
      <x:c r="I86" s="136"/>
      <x:c r="J86" s="136"/>
      <x:c r="K86" s="136"/>
      <x:c r="L86" s="136"/>
      <x:c r="M86" s="136"/>
      <x:c r="N86" s="136"/>
      <x:c r="O86" s="136"/>
      <x:c r="P86" s="136"/>
      <x:c r="Q86" s="136"/>
      <x:c r="R86" s="136"/>
      <x:c r="S86" s="136"/>
      <x:c r="T86" s="136"/>
      <x:c r="U86" s="136"/>
      <x:c r="V86" s="136"/>
      <x:c r="W86" s="136"/>
      <x:c r="X86" s="136"/>
      <x:c r="Y86" s="136"/>
      <x:c r="Z86" s="136"/>
    </x:row>
    <x:row r="87">
      <x:c r="A87" s="136"/>
      <x:c r="B87" s="136"/>
      <x:c r="C87" s="136"/>
      <x:c r="D87" s="136"/>
      <x:c r="E87" s="136"/>
      <x:c r="F87" s="136"/>
      <x:c r="G87" s="136"/>
      <x:c r="H87" s="136"/>
      <x:c r="I87" s="136"/>
      <x:c r="J87" s="136"/>
      <x:c r="K87" s="136"/>
      <x:c r="L87" s="136"/>
      <x:c r="M87" s="136"/>
      <x:c r="N87" s="136"/>
      <x:c r="O87" s="136"/>
      <x:c r="P87" s="136"/>
      <x:c r="Q87" s="136"/>
      <x:c r="R87" s="136"/>
      <x:c r="S87" s="136"/>
      <x:c r="T87" s="136"/>
      <x:c r="U87" s="136"/>
      <x:c r="V87" s="136"/>
      <x:c r="W87" s="136"/>
      <x:c r="X87" s="136"/>
      <x:c r="Y87" s="136"/>
      <x:c r="Z87" s="136"/>
    </x:row>
    <x:row r="88">
      <x:c r="A88" s="136"/>
      <x:c r="B88" s="136"/>
      <x:c r="C88" s="136"/>
      <x:c r="D88" s="136"/>
      <x:c r="E88" s="136"/>
      <x:c r="F88" s="136"/>
      <x:c r="G88" s="136"/>
      <x:c r="H88" s="136"/>
      <x:c r="I88" s="136"/>
      <x:c r="J88" s="136"/>
      <x:c r="K88" s="136"/>
      <x:c r="L88" s="136"/>
      <x:c r="M88" s="136"/>
      <x:c r="N88" s="136"/>
      <x:c r="O88" s="136"/>
      <x:c r="P88" s="136"/>
      <x:c r="Q88" s="136"/>
      <x:c r="R88" s="136"/>
      <x:c r="S88" s="136"/>
      <x:c r="T88" s="136"/>
      <x:c r="U88" s="136"/>
      <x:c r="V88" s="136"/>
      <x:c r="W88" s="136"/>
      <x:c r="X88" s="136"/>
      <x:c r="Y88" s="136"/>
      <x:c r="Z88" s="136"/>
    </x:row>
    <x:row r="89">
      <x:c r="A89" s="136"/>
      <x:c r="B89" s="136"/>
      <x:c r="C89" s="136"/>
      <x:c r="D89" s="136"/>
      <x:c r="E89" s="136"/>
      <x:c r="F89" s="136"/>
      <x:c r="G89" s="136"/>
      <x:c r="H89" s="136"/>
      <x:c r="I89" s="136"/>
      <x:c r="J89" s="136"/>
      <x:c r="K89" s="136"/>
      <x:c r="L89" s="136"/>
      <x:c r="M89" s="136"/>
      <x:c r="N89" s="136"/>
      <x:c r="O89" s="136"/>
      <x:c r="P89" s="136"/>
      <x:c r="Q89" s="136"/>
      <x:c r="R89" s="136"/>
      <x:c r="S89" s="136"/>
      <x:c r="T89" s="136"/>
      <x:c r="U89" s="136"/>
      <x:c r="V89" s="136"/>
      <x:c r="W89" s="136"/>
      <x:c r="X89" s="136"/>
      <x:c r="Y89" s="136"/>
      <x:c r="Z89" s="136"/>
    </x:row>
    <x:row r="90">
      <x:c r="A90" s="136"/>
      <x:c r="B90" s="136"/>
      <x:c r="C90" s="136"/>
      <x:c r="D90" s="136"/>
      <x:c r="E90" s="136"/>
      <x:c r="F90" s="136"/>
      <x:c r="G90" s="136"/>
      <x:c r="H90" s="136"/>
      <x:c r="I90" s="136"/>
      <x:c r="J90" s="136"/>
      <x:c r="K90" s="136"/>
      <x:c r="L90" s="136"/>
      <x:c r="M90" s="136"/>
      <x:c r="N90" s="136"/>
      <x:c r="O90" s="136"/>
      <x:c r="P90" s="136"/>
      <x:c r="Q90" s="136"/>
      <x:c r="R90" s="136"/>
      <x:c r="S90" s="136"/>
      <x:c r="T90" s="136"/>
      <x:c r="U90" s="136"/>
      <x:c r="V90" s="136"/>
      <x:c r="W90" s="136"/>
      <x:c r="X90" s="136"/>
      <x:c r="Y90" s="136"/>
      <x:c r="Z90" s="136"/>
    </x:row>
    <x:row r="91">
      <x:c r="A91" s="136"/>
      <x:c r="B91" s="136"/>
      <x:c r="C91" s="136"/>
      <x:c r="D91" s="136"/>
      <x:c r="E91" s="136"/>
      <x:c r="F91" s="136"/>
      <x:c r="G91" s="136"/>
      <x:c r="H91" s="136"/>
      <x:c r="I91" s="136"/>
      <x:c r="J91" s="136"/>
      <x:c r="K91" s="136"/>
      <x:c r="L91" s="136"/>
      <x:c r="M91" s="136"/>
      <x:c r="N91" s="136"/>
      <x:c r="O91" s="136"/>
      <x:c r="P91" s="136"/>
      <x:c r="Q91" s="136"/>
      <x:c r="R91" s="136"/>
      <x:c r="S91" s="136"/>
      <x:c r="T91" s="136"/>
      <x:c r="U91" s="136"/>
      <x:c r="V91" s="136"/>
      <x:c r="W91" s="136"/>
      <x:c r="X91" s="136"/>
      <x:c r="Y91" s="136"/>
      <x:c r="Z91" s="136"/>
    </x:row>
    <x:row r="92">
      <x:c r="A92" s="136"/>
      <x:c r="B92" s="136"/>
      <x:c r="C92" s="136"/>
      <x:c r="D92" s="136"/>
      <x:c r="E92" s="136"/>
      <x:c r="F92" s="136"/>
      <x:c r="G92" s="136"/>
      <x:c r="H92" s="136"/>
      <x:c r="I92" s="136"/>
      <x:c r="J92" s="136"/>
      <x:c r="K92" s="136"/>
      <x:c r="L92" s="136"/>
      <x:c r="M92" s="136"/>
      <x:c r="N92" s="136"/>
      <x:c r="O92" s="136"/>
      <x:c r="P92" s="136"/>
      <x:c r="Q92" s="136"/>
      <x:c r="R92" s="136"/>
      <x:c r="S92" s="136"/>
      <x:c r="T92" s="136"/>
      <x:c r="U92" s="136"/>
      <x:c r="V92" s="136"/>
      <x:c r="W92" s="136"/>
      <x:c r="X92" s="136"/>
      <x:c r="Y92" s="136"/>
      <x:c r="Z92" s="136"/>
    </x:row>
    <x:row r="93">
      <x:c r="A93" s="136"/>
      <x:c r="B93" s="136"/>
      <x:c r="C93" s="136"/>
      <x:c r="D93" s="136"/>
      <x:c r="E93" s="136"/>
      <x:c r="F93" s="136"/>
      <x:c r="G93" s="136"/>
      <x:c r="H93" s="136"/>
      <x:c r="I93" s="136"/>
      <x:c r="J93" s="136"/>
      <x:c r="K93" s="136"/>
      <x:c r="L93" s="136"/>
      <x:c r="M93" s="136"/>
      <x:c r="N93" s="136"/>
      <x:c r="O93" s="136"/>
      <x:c r="P93" s="136"/>
      <x:c r="Q93" s="136"/>
      <x:c r="R93" s="136"/>
      <x:c r="S93" s="136"/>
      <x:c r="T93" s="136"/>
      <x:c r="U93" s="136"/>
      <x:c r="V93" s="136"/>
      <x:c r="W93" s="136"/>
      <x:c r="X93" s="136"/>
      <x:c r="Y93" s="136"/>
      <x:c r="Z93" s="136"/>
    </x:row>
    <x:row r="94">
      <x:c r="A94" s="136"/>
      <x:c r="B94" s="136"/>
      <x:c r="C94" s="136"/>
      <x:c r="D94" s="136"/>
      <x:c r="E94" s="136"/>
      <x:c r="F94" s="136"/>
      <x:c r="G94" s="136"/>
      <x:c r="H94" s="136"/>
      <x:c r="I94" s="136"/>
      <x:c r="J94" s="136"/>
      <x:c r="K94" s="136"/>
      <x:c r="L94" s="136"/>
      <x:c r="M94" s="136"/>
      <x:c r="N94" s="136"/>
      <x:c r="O94" s="136"/>
      <x:c r="P94" s="136"/>
      <x:c r="Q94" s="136"/>
      <x:c r="R94" s="136"/>
      <x:c r="S94" s="136"/>
      <x:c r="T94" s="136"/>
      <x:c r="U94" s="136"/>
      <x:c r="V94" s="136"/>
      <x:c r="W94" s="136"/>
      <x:c r="X94" s="136"/>
      <x:c r="Y94" s="136"/>
      <x:c r="Z94" s="136"/>
    </x:row>
    <x:row r="95">
      <x:c r="A95" s="136"/>
      <x:c r="B95" s="136"/>
      <x:c r="C95" s="136"/>
      <x:c r="D95" s="136"/>
      <x:c r="E95" s="136"/>
      <x:c r="F95" s="136"/>
      <x:c r="G95" s="136"/>
      <x:c r="H95" s="136"/>
      <x:c r="I95" s="136"/>
      <x:c r="J95" s="136"/>
      <x:c r="K95" s="136"/>
      <x:c r="L95" s="136"/>
      <x:c r="M95" s="136"/>
      <x:c r="N95" s="136"/>
      <x:c r="O95" s="136"/>
      <x:c r="P95" s="136"/>
      <x:c r="Q95" s="136"/>
      <x:c r="R95" s="136"/>
      <x:c r="S95" s="136"/>
      <x:c r="T95" s="136"/>
      <x:c r="U95" s="136"/>
      <x:c r="V95" s="136"/>
      <x:c r="W95" s="136"/>
      <x:c r="X95" s="136"/>
      <x:c r="Y95" s="136"/>
      <x:c r="Z95" s="136"/>
    </x:row>
    <x:row r="96">
      <x:c r="A96" s="136"/>
      <x:c r="B96" s="136"/>
      <x:c r="C96" s="136"/>
      <x:c r="D96" s="136"/>
      <x:c r="E96" s="136"/>
      <x:c r="F96" s="136"/>
      <x:c r="G96" s="136"/>
      <x:c r="H96" s="136"/>
      <x:c r="I96" s="136"/>
      <x:c r="J96" s="136"/>
      <x:c r="K96" s="136"/>
      <x:c r="L96" s="136"/>
      <x:c r="M96" s="136"/>
      <x:c r="N96" s="136"/>
      <x:c r="O96" s="136"/>
      <x:c r="P96" s="136"/>
      <x:c r="Q96" s="136"/>
      <x:c r="R96" s="136"/>
      <x:c r="S96" s="136"/>
      <x:c r="T96" s="136"/>
      <x:c r="U96" s="136"/>
      <x:c r="V96" s="136"/>
      <x:c r="W96" s="136"/>
      <x:c r="X96" s="136"/>
      <x:c r="Y96" s="136"/>
      <x:c r="Z96" s="136"/>
    </x:row>
    <x:row r="97">
      <x:c r="A97" s="136"/>
      <x:c r="B97" s="136"/>
      <x:c r="C97" s="136"/>
      <x:c r="D97" s="136"/>
      <x:c r="E97" s="136"/>
      <x:c r="F97" s="136"/>
      <x:c r="G97" s="136"/>
      <x:c r="H97" s="136"/>
      <x:c r="I97" s="136"/>
      <x:c r="J97" s="136"/>
      <x:c r="K97" s="136"/>
      <x:c r="L97" s="136"/>
      <x:c r="M97" s="136"/>
      <x:c r="N97" s="136"/>
      <x:c r="O97" s="136"/>
      <x:c r="P97" s="136"/>
      <x:c r="Q97" s="136"/>
      <x:c r="R97" s="136"/>
      <x:c r="S97" s="136"/>
      <x:c r="T97" s="136"/>
      <x:c r="U97" s="136"/>
      <x:c r="V97" s="136"/>
      <x:c r="W97" s="136"/>
      <x:c r="X97" s="136"/>
      <x:c r="Y97" s="136"/>
      <x:c r="Z97" s="136"/>
    </x:row>
    <x:row r="98">
      <x:c r="A98" s="136"/>
      <x:c r="B98" s="136"/>
      <x:c r="C98" s="136"/>
      <x:c r="D98" s="136"/>
      <x:c r="E98" s="136"/>
      <x:c r="F98" s="136"/>
      <x:c r="G98" s="136"/>
      <x:c r="H98" s="136"/>
      <x:c r="I98" s="136"/>
      <x:c r="J98" s="136"/>
      <x:c r="K98" s="136"/>
      <x:c r="L98" s="136"/>
      <x:c r="M98" s="136"/>
      <x:c r="N98" s="136"/>
      <x:c r="O98" s="136"/>
      <x:c r="P98" s="136"/>
      <x:c r="Q98" s="136"/>
      <x:c r="R98" s="136"/>
      <x:c r="S98" s="136"/>
      <x:c r="T98" s="136"/>
      <x:c r="U98" s="136"/>
      <x:c r="V98" s="136"/>
      <x:c r="W98" s="136"/>
      <x:c r="X98" s="136"/>
      <x:c r="Y98" s="136"/>
      <x:c r="Z98" s="136"/>
    </x:row>
    <x:row r="99">
      <x:c r="A99" s="136"/>
      <x:c r="B99" s="136"/>
      <x:c r="C99" s="136"/>
      <x:c r="D99" s="136"/>
      <x:c r="E99" s="136"/>
      <x:c r="F99" s="136"/>
      <x:c r="G99" s="136"/>
      <x:c r="H99" s="136"/>
      <x:c r="I99" s="136"/>
      <x:c r="J99" s="136"/>
      <x:c r="K99" s="136"/>
      <x:c r="L99" s="136"/>
      <x:c r="M99" s="136"/>
      <x:c r="N99" s="136"/>
      <x:c r="O99" s="136"/>
      <x:c r="P99" s="136"/>
      <x:c r="Q99" s="136"/>
      <x:c r="R99" s="136"/>
      <x:c r="S99" s="136"/>
      <x:c r="T99" s="136"/>
      <x:c r="U99" s="136"/>
      <x:c r="V99" s="136"/>
      <x:c r="W99" s="136"/>
      <x:c r="X99" s="136"/>
      <x:c r="Y99" s="136"/>
      <x:c r="Z99" s="136"/>
    </x:row>
    <x:row r="100">
      <x:c r="A100" s="136"/>
      <x:c r="B100" s="136"/>
      <x:c r="C100" s="136"/>
      <x:c r="D100" s="136"/>
      <x:c r="E100" s="136"/>
      <x:c r="F100" s="136"/>
      <x:c r="G100" s="136"/>
      <x:c r="H100" s="136"/>
      <x:c r="I100" s="136"/>
      <x:c r="J100" s="136"/>
      <x:c r="K100" s="136"/>
      <x:c r="L100" s="136"/>
      <x:c r="M100" s="136"/>
      <x:c r="N100" s="136"/>
      <x:c r="O100" s="136"/>
      <x:c r="P100" s="136"/>
      <x:c r="Q100" s="136"/>
      <x:c r="R100" s="136"/>
      <x:c r="S100" s="136"/>
      <x:c r="T100" s="136"/>
      <x:c r="U100" s="136"/>
      <x:c r="V100" s="136"/>
      <x:c r="W100" s="136"/>
      <x:c r="X100" s="136"/>
      <x:c r="Y100" s="136"/>
      <x:c r="Z100" s="136"/>
    </x:row>
  </x:sheetData>
  <x:mergeCells>
    <x:mergeCell ref="A1:L1"/>
    <x:mergeCell ref="A9:L10"/>
  </x:mergeCells>
  <x:pageMargins left="0.7" right="0.7" top="0.75" bottom="0.75" header="0.3" footer="0.3"/>
  <x:tableParts count="1">
    <x:tablePart xmlns:r="http://schemas.openxmlformats.org/officeDocument/2006/relationships" r:id="R6cafb9b4e40743c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0" hidden="0" customWidth="1"/>
    <x:col min="8" max="8" width="22" hidden="0" customWidth="1"/>
    <x:col min="9" max="9" width="28" hidden="0" customWidth="1"/>
    <x:col min="10" max="10" width="40" hidden="0" customWidth="1"/>
  </x:cols>
  <x:sheetData>
    <x:row r="1" ht="26" customHeight="1">
      <x:c r="A1" s="4" t="str">
        <x:v>Monthly Naphtha Monitor — 2024 to 2027</x:v>
      </x:c>
      <x:c r="B1" s="4"/>
      <x:c r="C1" s="4"/>
      <x:c r="D1" s="4"/>
      <x:c r="E1" s="4"/>
      <x:c r="F1" s="4"/>
      <x:c r="G1" s="4"/>
      <x:c r="H1" s="4"/>
      <x:c r="I1" s="4"/>
      <x:c r="J1" s="4"/>
      <x:c r="K1" s="112"/>
      <x:c r="L1" s="112"/>
      <x:c r="M1" s="112"/>
      <x:c r="N1" s="112"/>
      <x:c r="O1" s="112"/>
      <x:c r="P1" s="112"/>
      <x:c r="Q1" s="112"/>
      <x:c r="R1" s="112"/>
      <x:c r="S1" s="112"/>
      <x:c r="T1" s="112"/>
      <x:c r="U1" s="112"/>
      <x:c r="V1" s="112"/>
      <x:c r="W1" s="112"/>
      <x:c r="X1" s="112"/>
      <x:c r="Y1" s="112"/>
      <x:c r="Z1" s="112"/>
    </x:row>
    <x:row r="2">
      <x:c r="A2" s="12" t="str">
        <x:v>Month</x:v>
      </x:c>
      <x:c r="B2" s="12" t="str">
        <x:v>Future LR1 Completed (kt)</x:v>
      </x:c>
      <x:c r="C2" s="12" t="str">
        <x:v>Third-party Completed (kt)</x:v>
      </x:c>
      <x:c r="D2" s="12" t="str">
        <x:v>Unconfirmed / Forward (kt)</x:v>
      </x:c>
      <x:c r="E2" s="12" t="str">
        <x:v>Total Tracked (kt)</x:v>
      </x:c>
      <x:c r="F2" s="12" t="str">
        <x:v>Rolling 3M Tracked (kt)</x:v>
      </x:c>
      <x:c r="G2" s="12" t="str">
        <x:v>Coverage</x:v>
      </x:c>
      <x:c r="H2" s="203" t="str">
        <x:v>Official Aratu Port Cargo (kt; all products)</x:v>
      </x:c>
      <x:c r="I2" s="12" t="str">
        <x:v>Additive Signal</x:v>
      </x:c>
      <x:c r="J2" s="12" t="str">
        <x:v>Notes</x:v>
      </x:c>
      <x:c r="K2" s="136"/>
      <x:c r="L2" s="136"/>
      <x:c r="M2" s="136"/>
      <x:c r="N2" s="136"/>
      <x:c r="O2" s="136"/>
      <x:c r="P2" s="136"/>
      <x:c r="Q2" s="136"/>
      <x:c r="R2" s="136"/>
      <x:c r="S2" s="136"/>
      <x:c r="T2" s="136"/>
      <x:c r="U2" s="136"/>
      <x:c r="V2" s="136"/>
      <x:c r="W2" s="136"/>
      <x:c r="X2" s="136"/>
      <x:c r="Y2" s="136"/>
      <x:c r="Z2" s="136"/>
    </x:row>
    <x:row r="3">
      <x:c r="A3" s="178" t="n">
        <x:v>45292</x:v>
      </x:c>
      <x:c r="B3" s="169" t="n">
        <x:f>SUMIFS(Arrivals!$G$3:$G$1000,Arrivals!$A$3:$A$1000,"&gt;="&amp;A3,Arrivals!$A$3:$A$1000,"&lt;"&amp;DATE(YEAR(A3),MONTH(A3)+1,1),Arrivals!$D$3:$D$1000,"Completed",Arrivals!$J$3:$J$1000,"Future LR1")</x:f>
        <x:v>0</x:v>
      </x:c>
      <x:c r="C3" s="169" t="n">
        <x:f>SUMIFS(Arrivals!$G$3:$G$1000,Arrivals!$A$3:$A$1000,"&gt;="&amp;A3,Arrivals!$A$3:$A$1000,"&lt;"&amp;DATE(YEAR(A3),MONTH(A3)+1,1),Arrivals!$D$3:$D$1000,"Completed",Arrivals!$J$3:$J$1000,"Third-party")</x:f>
        <x:v>0</x:v>
      </x:c>
      <x:c r="D3" s="169" t="n">
        <x:f>SUMIFS(Arrivals!$G$3:$G$1000,Arrivals!$A$3:$A$1000,"&gt;="&amp;A3,Arrivals!$A$3:$A$1000,"&lt;"&amp;EDATE(A3,1),Arrivals!$D$3:$D$1000,"Scheduled")+SUMIFS(Arrivals!$G$3:$G$1000,Arrivals!$A$3:$A$1000,"&gt;="&amp;A3,Arrivals!$A$3:$A$1000,"&lt;"&amp;EDATE(A3,1),Arrivals!$D$3:$D$1000,"Berthed / Discharging")+SUMIFS(Arrivals!$G$3:$G$1000,Arrivals!$A$3:$A$1000,"&gt;="&amp;A3,Arrivals!$A$3:$A$1000,"&lt;"&amp;EDATE(A3,1),Arrivals!$D$3:$D$1000,"Anchored / Awaiting berth")</x:f>
        <x:v>0</x:v>
      </x:c>
      <x:c r="E3" s="169" t="n">
        <x:f>SUM(B3:D3)</x:f>
        <x:v>0</x:v>
      </x:c>
      <x:c r="F3" s="169" t="n">
        <x:f>SUM(E3:E3)</x:f>
        <x:v>0</x:v>
      </x:c>
      <x:c r="G3" s="179" t="str">
        <x:f>IF(A3&lt;DATE(2026,8,1),"Historical vessel list not backfilled",IF(A3=DATE(2026,8,1),"Live Aratu capture","Forward / update pending"))</x:f>
        <x:v>Historical vessel list not backfilled</x:v>
      </x:c>
      <x:c r="H3" s="169"/>
      <x:c r="I3" s="179" t="str">
        <x:f>IF(A3&lt;DATE(2026,8,1),"",IF(C3&gt;0,IF(B3&gt;0,"Future + third-party coexisting","Third-party only"),IF(B3&gt;0,"Future only","No tracked arrivals")))</x:f>
      </x:c>
      <x:c r="J3" s="179" t="str">
        <x:f>IF(A3=DATE(2026,8,1),"Completed + near-forward CODEBA data in Arrivals tab; ANP historical monthly backfill pending.","")</x:f>
      </x:c>
      <x:c r="K3" s="136"/>
      <x:c r="L3" s="136"/>
      <x:c r="M3" s="136"/>
      <x:c r="N3" s="136"/>
      <x:c r="O3" s="136"/>
      <x:c r="P3" s="136"/>
      <x:c r="Q3" s="136"/>
      <x:c r="R3" s="136"/>
      <x:c r="S3" s="136"/>
      <x:c r="T3" s="136"/>
      <x:c r="U3" s="136"/>
      <x:c r="V3" s="136"/>
      <x:c r="W3" s="136"/>
      <x:c r="X3" s="136"/>
      <x:c r="Y3" s="136"/>
      <x:c r="Z3" s="136"/>
    </x:row>
    <x:row r="4">
      <x:c r="A4" s="178" t="n">
        <x:v>45323</x:v>
      </x:c>
      <x:c r="B4" s="169" t="n">
        <x:f>SUMIFS(Arrivals!$G$3:$G$1000,Arrivals!$A$3:$A$1000,"&gt;="&amp;A4,Arrivals!$A$3:$A$1000,"&lt;"&amp;DATE(YEAR(A4),MONTH(A4)+1,1),Arrivals!$D$3:$D$1000,"Completed",Arrivals!$J$3:$J$1000,"Future LR1")</x:f>
        <x:v>0</x:v>
      </x:c>
      <x:c r="C4" s="169" t="n">
        <x:f>SUMIFS(Arrivals!$G$3:$G$1000,Arrivals!$A$3:$A$1000,"&gt;="&amp;A4,Arrivals!$A$3:$A$1000,"&lt;"&amp;DATE(YEAR(A4),MONTH(A4)+1,1),Arrivals!$D$3:$D$1000,"Completed",Arrivals!$J$3:$J$1000,"Third-party")</x:f>
        <x:v>0</x:v>
      </x:c>
      <x:c r="D4" s="169" t="n">
        <x:f>SUMIFS(Arrivals!$G$3:$G$1000,Arrivals!$A$3:$A$1000,"&gt;="&amp;A4,Arrivals!$A$3:$A$1000,"&lt;"&amp;EDATE(A4,1),Arrivals!$D$3:$D$1000,"Scheduled")+SUMIFS(Arrivals!$G$3:$G$1000,Arrivals!$A$3:$A$1000,"&gt;="&amp;A4,Arrivals!$A$3:$A$1000,"&lt;"&amp;EDATE(A4,1),Arrivals!$D$3:$D$1000,"Berthed / Discharging")+SUMIFS(Arrivals!$G$3:$G$1000,Arrivals!$A$3:$A$1000,"&gt;="&amp;A4,Arrivals!$A$3:$A$1000,"&lt;"&amp;EDATE(A4,1),Arrivals!$D$3:$D$1000,"Anchored / Awaiting berth")</x:f>
        <x:v>0</x:v>
      </x:c>
      <x:c r="E4" s="169" t="n">
        <x:f>SUM(B4:D4)</x:f>
        <x:v>0</x:v>
      </x:c>
      <x:c r="F4" s="169" t="n">
        <x:f>SUM(E3:E4)</x:f>
        <x:v>0</x:v>
      </x:c>
      <x:c r="G4" s="179" t="str">
        <x:f>IF(A4&lt;DATE(2026,8,1),"Historical vessel list not backfilled",IF(A4=DATE(2026,8,1),"Live Aratu capture","Forward / update pending"))</x:f>
        <x:v>Historical vessel list not backfilled</x:v>
      </x:c>
      <x:c r="H4" s="169"/>
      <x:c r="I4" s="179" t="str">
        <x:f>IF(A4&lt;DATE(2026,8,1),"",IF(C4&gt;0,IF(B4&gt;0,"Future + third-party coexisting","Third-party only"),IF(B4&gt;0,"Future only","No tracked arrivals")))</x:f>
      </x:c>
      <x:c r="J4" s="179" t="str">
        <x:f>IF(A4=DATE(2026,8,1),"Completed + near-forward CODEBA data in Arrivals tab; ANP historical monthly backfill pending.","")</x:f>
      </x:c>
      <x:c r="K4" s="136"/>
      <x:c r="L4" s="136"/>
      <x:c r="M4" s="136"/>
      <x:c r="N4" s="136"/>
      <x:c r="O4" s="136"/>
      <x:c r="P4" s="136"/>
      <x:c r="Q4" s="136"/>
      <x:c r="R4" s="136"/>
      <x:c r="S4" s="136"/>
      <x:c r="T4" s="136"/>
      <x:c r="U4" s="136"/>
      <x:c r="V4" s="136"/>
      <x:c r="W4" s="136"/>
      <x:c r="X4" s="136"/>
      <x:c r="Y4" s="136"/>
      <x:c r="Z4" s="136"/>
    </x:row>
    <x:row r="5">
      <x:c r="A5" s="178" t="n">
        <x:v>45352</x:v>
      </x:c>
      <x:c r="B5" s="169" t="n">
        <x:f>SUMIFS(Arrivals!$G$3:$G$1000,Arrivals!$A$3:$A$1000,"&gt;="&amp;A5,Arrivals!$A$3:$A$1000,"&lt;"&amp;DATE(YEAR(A5),MONTH(A5)+1,1),Arrivals!$D$3:$D$1000,"Completed",Arrivals!$J$3:$J$1000,"Future LR1")</x:f>
        <x:v>0</x:v>
      </x:c>
      <x:c r="C5" s="169" t="n">
        <x:f>SUMIFS(Arrivals!$G$3:$G$1000,Arrivals!$A$3:$A$1000,"&gt;="&amp;A5,Arrivals!$A$3:$A$1000,"&lt;"&amp;DATE(YEAR(A5),MONTH(A5)+1,1),Arrivals!$D$3:$D$1000,"Completed",Arrivals!$J$3:$J$1000,"Third-party")</x:f>
        <x:v>0</x:v>
      </x:c>
      <x:c r="D5" s="169" t="n">
        <x:f>SUMIFS(Arrivals!$G$3:$G$1000,Arrivals!$A$3:$A$1000,"&gt;="&amp;A5,Arrivals!$A$3:$A$1000,"&lt;"&amp;EDATE(A5,1),Arrivals!$D$3:$D$1000,"Scheduled")+SUMIFS(Arrivals!$G$3:$G$1000,Arrivals!$A$3:$A$1000,"&gt;="&amp;A5,Arrivals!$A$3:$A$1000,"&lt;"&amp;EDATE(A5,1),Arrivals!$D$3:$D$1000,"Berthed / Discharging")+SUMIFS(Arrivals!$G$3:$G$1000,Arrivals!$A$3:$A$1000,"&gt;="&amp;A5,Arrivals!$A$3:$A$1000,"&lt;"&amp;EDATE(A5,1),Arrivals!$D$3:$D$1000,"Anchored / Awaiting berth")</x:f>
        <x:v>0</x:v>
      </x:c>
      <x:c r="E5" s="169" t="n">
        <x:f>SUM(B5:D5)</x:f>
        <x:v>0</x:v>
      </x:c>
      <x:c r="F5" s="169" t="n">
        <x:f>SUM(E3:E5)</x:f>
        <x:v>0</x:v>
      </x:c>
      <x:c r="G5" s="179" t="str">
        <x:f>IF(A5&lt;DATE(2026,8,1),"Historical vessel list not backfilled",IF(A5=DATE(2026,8,1),"Live Aratu capture","Forward / update pending"))</x:f>
        <x:v>Historical vessel list not backfilled</x:v>
      </x:c>
      <x:c r="H5" s="169"/>
      <x:c r="I5" s="179" t="str">
        <x:f>IF(A5&lt;DATE(2026,8,1),"",IF(C5&gt;0,IF(B5&gt;0,"Future + third-party coexisting","Third-party only"),IF(B5&gt;0,"Future only","No tracked arrivals")))</x:f>
      </x:c>
      <x:c r="J5" s="179" t="str">
        <x:f>IF(A5=DATE(2026,8,1),"Completed + near-forward CODEBA data in Arrivals tab; ANP historical monthly backfill pending.","")</x:f>
      </x:c>
      <x:c r="K5" s="136"/>
      <x:c r="L5" s="136"/>
      <x:c r="M5" s="136"/>
      <x:c r="N5" s="136"/>
      <x:c r="O5" s="136"/>
      <x:c r="P5" s="136"/>
      <x:c r="Q5" s="136"/>
      <x:c r="R5" s="136"/>
      <x:c r="S5" s="136"/>
      <x:c r="T5" s="136"/>
      <x:c r="U5" s="136"/>
      <x:c r="V5" s="136"/>
      <x:c r="W5" s="136"/>
      <x:c r="X5" s="136"/>
      <x:c r="Y5" s="136"/>
      <x:c r="Z5" s="136"/>
    </x:row>
    <x:row r="6">
      <x:c r="A6" s="178" t="n">
        <x:v>45383</x:v>
      </x:c>
      <x:c r="B6" s="169" t="n">
        <x:f>SUMIFS(Arrivals!$G$3:$G$1000,Arrivals!$A$3:$A$1000,"&gt;="&amp;A6,Arrivals!$A$3:$A$1000,"&lt;"&amp;DATE(YEAR(A6),MONTH(A6)+1,1),Arrivals!$D$3:$D$1000,"Completed",Arrivals!$J$3:$J$1000,"Future LR1")</x:f>
        <x:v>0</x:v>
      </x:c>
      <x:c r="C6" s="169" t="n">
        <x:f>SUMIFS(Arrivals!$G$3:$G$1000,Arrivals!$A$3:$A$1000,"&gt;="&amp;A6,Arrivals!$A$3:$A$1000,"&lt;"&amp;DATE(YEAR(A6),MONTH(A6)+1,1),Arrivals!$D$3:$D$1000,"Completed",Arrivals!$J$3:$J$1000,"Third-party")</x:f>
        <x:v>0</x:v>
      </x:c>
      <x:c r="D6" s="169" t="n">
        <x:f>SUMIFS(Arrivals!$G$3:$G$1000,Arrivals!$A$3:$A$1000,"&gt;="&amp;A6,Arrivals!$A$3:$A$1000,"&lt;"&amp;EDATE(A6,1),Arrivals!$D$3:$D$1000,"Scheduled")+SUMIFS(Arrivals!$G$3:$G$1000,Arrivals!$A$3:$A$1000,"&gt;="&amp;A6,Arrivals!$A$3:$A$1000,"&lt;"&amp;EDATE(A6,1),Arrivals!$D$3:$D$1000,"Berthed / Discharging")+SUMIFS(Arrivals!$G$3:$G$1000,Arrivals!$A$3:$A$1000,"&gt;="&amp;A6,Arrivals!$A$3:$A$1000,"&lt;"&amp;EDATE(A6,1),Arrivals!$D$3:$D$1000,"Anchored / Awaiting berth")</x:f>
        <x:v>0</x:v>
      </x:c>
      <x:c r="E6" s="169" t="n">
        <x:f>SUM(B6:D6)</x:f>
        <x:v>0</x:v>
      </x:c>
      <x:c r="F6" s="169" t="n">
        <x:f>SUM(E4:E6)</x:f>
        <x:v>0</x:v>
      </x:c>
      <x:c r="G6" s="179" t="str">
        <x:f>IF(A6&lt;DATE(2026,8,1),"Historical vessel list not backfilled",IF(A6=DATE(2026,8,1),"Live Aratu capture","Forward / update pending"))</x:f>
        <x:v>Historical vessel list not backfilled</x:v>
      </x:c>
      <x:c r="H6" s="169"/>
      <x:c r="I6" s="179" t="str">
        <x:f>IF(A6&lt;DATE(2026,8,1),"",IF(C6&gt;0,IF(B6&gt;0,"Future + third-party coexisting","Third-party only"),IF(B6&gt;0,"Future only","No tracked arrivals")))</x:f>
      </x:c>
      <x:c r="J6" s="179" t="str">
        <x:f>IF(A6=DATE(2026,8,1),"Completed + near-forward CODEBA data in Arrivals tab; ANP historical monthly backfill pending.","")</x:f>
      </x:c>
      <x:c r="K6" s="136"/>
      <x:c r="L6" s="136"/>
      <x:c r="M6" s="136"/>
      <x:c r="N6" s="136"/>
      <x:c r="O6" s="136"/>
      <x:c r="P6" s="136"/>
      <x:c r="Q6" s="136"/>
      <x:c r="R6" s="136"/>
      <x:c r="S6" s="136"/>
      <x:c r="T6" s="136"/>
      <x:c r="U6" s="136"/>
      <x:c r="V6" s="136"/>
      <x:c r="W6" s="136"/>
      <x:c r="X6" s="136"/>
      <x:c r="Y6" s="136"/>
      <x:c r="Z6" s="136"/>
    </x:row>
    <x:row r="7">
      <x:c r="A7" s="178" t="n">
        <x:v>45413</x:v>
      </x:c>
      <x:c r="B7" s="169" t="n">
        <x:f>SUMIFS(Arrivals!$G$3:$G$1000,Arrivals!$A$3:$A$1000,"&gt;="&amp;A7,Arrivals!$A$3:$A$1000,"&lt;"&amp;DATE(YEAR(A7),MONTH(A7)+1,1),Arrivals!$D$3:$D$1000,"Completed",Arrivals!$J$3:$J$1000,"Future LR1")</x:f>
        <x:v>0</x:v>
      </x:c>
      <x:c r="C7" s="169" t="n">
        <x:f>SUMIFS(Arrivals!$G$3:$G$1000,Arrivals!$A$3:$A$1000,"&gt;="&amp;A7,Arrivals!$A$3:$A$1000,"&lt;"&amp;DATE(YEAR(A7),MONTH(A7)+1,1),Arrivals!$D$3:$D$1000,"Completed",Arrivals!$J$3:$J$1000,"Third-party")</x:f>
        <x:v>0</x:v>
      </x:c>
      <x:c r="D7" s="169" t="n">
        <x:f>SUMIFS(Arrivals!$G$3:$G$1000,Arrivals!$A$3:$A$1000,"&gt;="&amp;A7,Arrivals!$A$3:$A$1000,"&lt;"&amp;EDATE(A7,1),Arrivals!$D$3:$D$1000,"Scheduled")+SUMIFS(Arrivals!$G$3:$G$1000,Arrivals!$A$3:$A$1000,"&gt;="&amp;A7,Arrivals!$A$3:$A$1000,"&lt;"&amp;EDATE(A7,1),Arrivals!$D$3:$D$1000,"Berthed / Discharging")+SUMIFS(Arrivals!$G$3:$G$1000,Arrivals!$A$3:$A$1000,"&gt;="&amp;A7,Arrivals!$A$3:$A$1000,"&lt;"&amp;EDATE(A7,1),Arrivals!$D$3:$D$1000,"Anchored / Awaiting berth")</x:f>
        <x:v>0</x:v>
      </x:c>
      <x:c r="E7" s="169" t="n">
        <x:f>SUM(B7:D7)</x:f>
        <x:v>0</x:v>
      </x:c>
      <x:c r="F7" s="169" t="n">
        <x:f>SUM(E5:E7)</x:f>
        <x:v>0</x:v>
      </x:c>
      <x:c r="G7" s="179" t="str">
        <x:f>IF(A7&lt;DATE(2026,8,1),"Historical vessel list not backfilled",IF(A7=DATE(2026,8,1),"Live Aratu capture","Forward / update pending"))</x:f>
        <x:v>Historical vessel list not backfilled</x:v>
      </x:c>
      <x:c r="H7" s="169"/>
      <x:c r="I7" s="179" t="str">
        <x:f>IF(A7&lt;DATE(2026,8,1),"",IF(C7&gt;0,IF(B7&gt;0,"Future + third-party coexisting","Third-party only"),IF(B7&gt;0,"Future only","No tracked arrivals")))</x:f>
      </x:c>
      <x:c r="J7" s="179" t="str">
        <x:f>IF(A7=DATE(2026,8,1),"Completed + near-forward CODEBA data in Arrivals tab; ANP historical monthly backfill pending.","")</x:f>
      </x:c>
      <x:c r="K7" s="136"/>
      <x:c r="L7" s="136"/>
      <x:c r="M7" s="136"/>
      <x:c r="N7" s="136"/>
      <x:c r="O7" s="136"/>
      <x:c r="P7" s="136"/>
      <x:c r="Q7" s="136"/>
      <x:c r="R7" s="136"/>
      <x:c r="S7" s="136"/>
      <x:c r="T7" s="136"/>
      <x:c r="U7" s="136"/>
      <x:c r="V7" s="136"/>
      <x:c r="W7" s="136"/>
      <x:c r="X7" s="136"/>
      <x:c r="Y7" s="136"/>
      <x:c r="Z7" s="136"/>
    </x:row>
    <x:row r="8">
      <x:c r="A8" s="178" t="n">
        <x:v>45444</x:v>
      </x:c>
      <x:c r="B8" s="169" t="n">
        <x:f>SUMIFS(Arrivals!$G$3:$G$1000,Arrivals!$A$3:$A$1000,"&gt;="&amp;A8,Arrivals!$A$3:$A$1000,"&lt;"&amp;DATE(YEAR(A8),MONTH(A8)+1,1),Arrivals!$D$3:$D$1000,"Completed",Arrivals!$J$3:$J$1000,"Future LR1")</x:f>
        <x:v>0</x:v>
      </x:c>
      <x:c r="C8" s="169" t="n">
        <x:f>SUMIFS(Arrivals!$G$3:$G$1000,Arrivals!$A$3:$A$1000,"&gt;="&amp;A8,Arrivals!$A$3:$A$1000,"&lt;"&amp;DATE(YEAR(A8),MONTH(A8)+1,1),Arrivals!$D$3:$D$1000,"Completed",Arrivals!$J$3:$J$1000,"Third-party")</x:f>
        <x:v>0</x:v>
      </x:c>
      <x:c r="D8" s="169" t="n">
        <x:f>SUMIFS(Arrivals!$G$3:$G$1000,Arrivals!$A$3:$A$1000,"&gt;="&amp;A8,Arrivals!$A$3:$A$1000,"&lt;"&amp;EDATE(A8,1),Arrivals!$D$3:$D$1000,"Scheduled")+SUMIFS(Arrivals!$G$3:$G$1000,Arrivals!$A$3:$A$1000,"&gt;="&amp;A8,Arrivals!$A$3:$A$1000,"&lt;"&amp;EDATE(A8,1),Arrivals!$D$3:$D$1000,"Berthed / Discharging")+SUMIFS(Arrivals!$G$3:$G$1000,Arrivals!$A$3:$A$1000,"&gt;="&amp;A8,Arrivals!$A$3:$A$1000,"&lt;"&amp;EDATE(A8,1),Arrivals!$D$3:$D$1000,"Anchored / Awaiting berth")</x:f>
        <x:v>0</x:v>
      </x:c>
      <x:c r="E8" s="169" t="n">
        <x:f>SUM(B8:D8)</x:f>
        <x:v>0</x:v>
      </x:c>
      <x:c r="F8" s="169" t="n">
        <x:f>SUM(E6:E8)</x:f>
        <x:v>0</x:v>
      </x:c>
      <x:c r="G8" s="179" t="str">
        <x:f>IF(A8&lt;DATE(2026,8,1),"Historical vessel list not backfilled",IF(A8=DATE(2026,8,1),"Live Aratu capture","Forward / update pending"))</x:f>
        <x:v>Historical vessel list not backfilled</x:v>
      </x:c>
      <x:c r="H8" s="169"/>
      <x:c r="I8" s="179" t="str">
        <x:f>IF(A8&lt;DATE(2026,8,1),"",IF(C8&gt;0,IF(B8&gt;0,"Future + third-party coexisting","Third-party only"),IF(B8&gt;0,"Future only","No tracked arrivals")))</x:f>
      </x:c>
      <x:c r="J8" s="179" t="str">
        <x:f>IF(A8=DATE(2026,8,1),"Completed + near-forward CODEBA data in Arrivals tab; ANP historical monthly backfill pending.","")</x:f>
      </x:c>
      <x:c r="K8" s="136"/>
      <x:c r="L8" s="136"/>
      <x:c r="M8" s="136"/>
      <x:c r="N8" s="136"/>
      <x:c r="O8" s="136"/>
      <x:c r="P8" s="136"/>
      <x:c r="Q8" s="136"/>
      <x:c r="R8" s="136"/>
      <x:c r="S8" s="136"/>
      <x:c r="T8" s="136"/>
      <x:c r="U8" s="136"/>
      <x:c r="V8" s="136"/>
      <x:c r="W8" s="136"/>
      <x:c r="X8" s="136"/>
      <x:c r="Y8" s="136"/>
      <x:c r="Z8" s="136"/>
    </x:row>
    <x:row r="9">
      <x:c r="A9" s="178" t="n">
        <x:v>45474</x:v>
      </x:c>
      <x:c r="B9" s="169" t="n">
        <x:f>SUMIFS(Arrivals!$G$3:$G$1000,Arrivals!$A$3:$A$1000,"&gt;="&amp;A9,Arrivals!$A$3:$A$1000,"&lt;"&amp;DATE(YEAR(A9),MONTH(A9)+1,1),Arrivals!$D$3:$D$1000,"Completed",Arrivals!$J$3:$J$1000,"Future LR1")</x:f>
        <x:v>0</x:v>
      </x:c>
      <x:c r="C9" s="169" t="n">
        <x:f>SUMIFS(Arrivals!$G$3:$G$1000,Arrivals!$A$3:$A$1000,"&gt;="&amp;A9,Arrivals!$A$3:$A$1000,"&lt;"&amp;DATE(YEAR(A9),MONTH(A9)+1,1),Arrivals!$D$3:$D$1000,"Completed",Arrivals!$J$3:$J$1000,"Third-party")</x:f>
        <x:v>0</x:v>
      </x:c>
      <x:c r="D9" s="169" t="n">
        <x:f>SUMIFS(Arrivals!$G$3:$G$1000,Arrivals!$A$3:$A$1000,"&gt;="&amp;A9,Arrivals!$A$3:$A$1000,"&lt;"&amp;EDATE(A9,1),Arrivals!$D$3:$D$1000,"Scheduled")+SUMIFS(Arrivals!$G$3:$G$1000,Arrivals!$A$3:$A$1000,"&gt;="&amp;A9,Arrivals!$A$3:$A$1000,"&lt;"&amp;EDATE(A9,1),Arrivals!$D$3:$D$1000,"Berthed / Discharging")+SUMIFS(Arrivals!$G$3:$G$1000,Arrivals!$A$3:$A$1000,"&gt;="&amp;A9,Arrivals!$A$3:$A$1000,"&lt;"&amp;EDATE(A9,1),Arrivals!$D$3:$D$1000,"Anchored / Awaiting berth")</x:f>
        <x:v>0</x:v>
      </x:c>
      <x:c r="E9" s="169" t="n">
        <x:f>SUM(B9:D9)</x:f>
        <x:v>0</x:v>
      </x:c>
      <x:c r="F9" s="169" t="n">
        <x:f>SUM(E7:E9)</x:f>
        <x:v>0</x:v>
      </x:c>
      <x:c r="G9" s="179" t="str">
        <x:f>IF(A9&lt;DATE(2026,8,1),"Historical vessel list not backfilled",IF(A9=DATE(2026,8,1),"Live Aratu capture","Forward / update pending"))</x:f>
        <x:v>Historical vessel list not backfilled</x:v>
      </x:c>
      <x:c r="H9" s="169"/>
      <x:c r="I9" s="179" t="str">
        <x:f>IF(A9&lt;DATE(2026,8,1),"",IF(C9&gt;0,IF(B9&gt;0,"Future + third-party coexisting","Third-party only"),IF(B9&gt;0,"Future only","No tracked arrivals")))</x:f>
      </x:c>
      <x:c r="J9" s="179" t="str">
        <x:f>IF(A9=DATE(2026,8,1),"Completed + near-forward CODEBA data in Arrivals tab; ANP historical monthly backfill pending.","")</x:f>
      </x:c>
      <x:c r="K9" s="136"/>
      <x:c r="L9" s="136"/>
      <x:c r="M9" s="136"/>
      <x:c r="N9" s="136"/>
      <x:c r="O9" s="136"/>
      <x:c r="P9" s="136"/>
      <x:c r="Q9" s="136"/>
      <x:c r="R9" s="136"/>
      <x:c r="S9" s="136"/>
      <x:c r="T9" s="136"/>
      <x:c r="U9" s="136"/>
      <x:c r="V9" s="136"/>
      <x:c r="W9" s="136"/>
      <x:c r="X9" s="136"/>
      <x:c r="Y9" s="136"/>
      <x:c r="Z9" s="136"/>
    </x:row>
    <x:row r="10">
      <x:c r="A10" s="178" t="n">
        <x:v>45505</x:v>
      </x:c>
      <x:c r="B10" s="169" t="n">
        <x:f>SUMIFS(Arrivals!$G$3:$G$1000,Arrivals!$A$3:$A$1000,"&gt;="&amp;A10,Arrivals!$A$3:$A$1000,"&lt;"&amp;DATE(YEAR(A10),MONTH(A10)+1,1),Arrivals!$D$3:$D$1000,"Completed",Arrivals!$J$3:$J$1000,"Future LR1")</x:f>
        <x:v>0</x:v>
      </x:c>
      <x:c r="C10" s="169" t="n">
        <x:f>SUMIFS(Arrivals!$G$3:$G$1000,Arrivals!$A$3:$A$1000,"&gt;="&amp;A10,Arrivals!$A$3:$A$1000,"&lt;"&amp;DATE(YEAR(A10),MONTH(A10)+1,1),Arrivals!$D$3:$D$1000,"Completed",Arrivals!$J$3:$J$1000,"Third-party")</x:f>
        <x:v>0</x:v>
      </x:c>
      <x:c r="D10" s="169" t="n">
        <x:f>SUMIFS(Arrivals!$G$3:$G$1000,Arrivals!$A$3:$A$1000,"&gt;="&amp;A10,Arrivals!$A$3:$A$1000,"&lt;"&amp;EDATE(A10,1),Arrivals!$D$3:$D$1000,"Scheduled")+SUMIFS(Arrivals!$G$3:$G$1000,Arrivals!$A$3:$A$1000,"&gt;="&amp;A10,Arrivals!$A$3:$A$1000,"&lt;"&amp;EDATE(A10,1),Arrivals!$D$3:$D$1000,"Berthed / Discharging")+SUMIFS(Arrivals!$G$3:$G$1000,Arrivals!$A$3:$A$1000,"&gt;="&amp;A10,Arrivals!$A$3:$A$1000,"&lt;"&amp;EDATE(A10,1),Arrivals!$D$3:$D$1000,"Anchored / Awaiting berth")</x:f>
        <x:v>0</x:v>
      </x:c>
      <x:c r="E10" s="169" t="n">
        <x:f>SUM(B10:D10)</x:f>
        <x:v>0</x:v>
      </x:c>
      <x:c r="F10" s="169" t="n">
        <x:f>SUM(E8:E10)</x:f>
        <x:v>0</x:v>
      </x:c>
      <x:c r="G10" s="179" t="str">
        <x:f>IF(A10&lt;DATE(2026,8,1),"Historical vessel list not backfilled",IF(A10=DATE(2026,8,1),"Live Aratu capture","Forward / update pending"))</x:f>
        <x:v>Historical vessel list not backfilled</x:v>
      </x:c>
      <x:c r="H10" s="169"/>
      <x:c r="I10" s="179" t="str">
        <x:f>IF(A10&lt;DATE(2026,8,1),"",IF(C10&gt;0,IF(B10&gt;0,"Future + third-party coexisting","Third-party only"),IF(B10&gt;0,"Future only","No tracked arrivals")))</x:f>
      </x:c>
      <x:c r="J10" s="179" t="str">
        <x:f>IF(A10=DATE(2026,8,1),"Completed + near-forward CODEBA data in Arrivals tab; ANP historical monthly backfill pending.","")</x:f>
      </x:c>
      <x:c r="K10" s="136"/>
      <x:c r="L10" s="136"/>
      <x:c r="M10" s="136"/>
      <x:c r="N10" s="136"/>
      <x:c r="O10" s="136"/>
      <x:c r="P10" s="136"/>
      <x:c r="Q10" s="136"/>
      <x:c r="R10" s="136"/>
      <x:c r="S10" s="136"/>
      <x:c r="T10" s="136"/>
      <x:c r="U10" s="136"/>
      <x:c r="V10" s="136"/>
      <x:c r="W10" s="136"/>
      <x:c r="X10" s="136"/>
      <x:c r="Y10" s="136"/>
      <x:c r="Z10" s="136"/>
    </x:row>
    <x:row r="11">
      <x:c r="A11" s="178" t="n">
        <x:v>45536</x:v>
      </x:c>
      <x:c r="B11" s="169" t="n">
        <x:f>SUMIFS(Arrivals!$G$3:$G$1000,Arrivals!$A$3:$A$1000,"&gt;="&amp;A11,Arrivals!$A$3:$A$1000,"&lt;"&amp;DATE(YEAR(A11),MONTH(A11)+1,1),Arrivals!$D$3:$D$1000,"Completed",Arrivals!$J$3:$J$1000,"Future LR1")</x:f>
        <x:v>0</x:v>
      </x:c>
      <x:c r="C11" s="169" t="n">
        <x:f>SUMIFS(Arrivals!$G$3:$G$1000,Arrivals!$A$3:$A$1000,"&gt;="&amp;A11,Arrivals!$A$3:$A$1000,"&lt;"&amp;DATE(YEAR(A11),MONTH(A11)+1,1),Arrivals!$D$3:$D$1000,"Completed",Arrivals!$J$3:$J$1000,"Third-party")</x:f>
        <x:v>0</x:v>
      </x:c>
      <x:c r="D11" s="169" t="n">
        <x:f>SUMIFS(Arrivals!$G$3:$G$1000,Arrivals!$A$3:$A$1000,"&gt;="&amp;A11,Arrivals!$A$3:$A$1000,"&lt;"&amp;EDATE(A11,1),Arrivals!$D$3:$D$1000,"Scheduled")+SUMIFS(Arrivals!$G$3:$G$1000,Arrivals!$A$3:$A$1000,"&gt;="&amp;A11,Arrivals!$A$3:$A$1000,"&lt;"&amp;EDATE(A11,1),Arrivals!$D$3:$D$1000,"Berthed / Discharging")+SUMIFS(Arrivals!$G$3:$G$1000,Arrivals!$A$3:$A$1000,"&gt;="&amp;A11,Arrivals!$A$3:$A$1000,"&lt;"&amp;EDATE(A11,1),Arrivals!$D$3:$D$1000,"Anchored / Awaiting berth")</x:f>
        <x:v>0</x:v>
      </x:c>
      <x:c r="E11" s="169" t="n">
        <x:f>SUM(B11:D11)</x:f>
        <x:v>0</x:v>
      </x:c>
      <x:c r="F11" s="169" t="n">
        <x:f>SUM(E9:E11)</x:f>
        <x:v>0</x:v>
      </x:c>
      <x:c r="G11" s="179" t="str">
        <x:f>IF(A11&lt;DATE(2026,8,1),"Historical vessel list not backfilled",IF(A11=DATE(2026,8,1),"Live Aratu capture","Forward / update pending"))</x:f>
        <x:v>Historical vessel list not backfilled</x:v>
      </x:c>
      <x:c r="H11" s="169"/>
      <x:c r="I11" s="179" t="str">
        <x:f>IF(A11&lt;DATE(2026,8,1),"",IF(C11&gt;0,IF(B11&gt;0,"Future + third-party coexisting","Third-party only"),IF(B11&gt;0,"Future only","No tracked arrivals")))</x:f>
      </x:c>
      <x:c r="J11" s="179" t="str">
        <x:f>IF(A11=DATE(2026,8,1),"Completed + near-forward CODEBA data in Arrivals tab; ANP historical monthly backfill pending.","")</x:f>
      </x:c>
      <x:c r="K11" s="136"/>
      <x:c r="L11" s="136"/>
      <x:c r="M11" s="136"/>
      <x:c r="N11" s="136"/>
      <x:c r="O11" s="136"/>
      <x:c r="P11" s="136"/>
      <x:c r="Q11" s="136"/>
      <x:c r="R11" s="136"/>
      <x:c r="S11" s="136"/>
      <x:c r="T11" s="136"/>
      <x:c r="U11" s="136"/>
      <x:c r="V11" s="136"/>
      <x:c r="W11" s="136"/>
      <x:c r="X11" s="136"/>
      <x:c r="Y11" s="136"/>
      <x:c r="Z11" s="136"/>
    </x:row>
    <x:row r="12">
      <x:c r="A12" s="178" t="n">
        <x:v>45566</x:v>
      </x:c>
      <x:c r="B12" s="169" t="n">
        <x:f>SUMIFS(Arrivals!$G$3:$G$1000,Arrivals!$A$3:$A$1000,"&gt;="&amp;A12,Arrivals!$A$3:$A$1000,"&lt;"&amp;DATE(YEAR(A12),MONTH(A12)+1,1),Arrivals!$D$3:$D$1000,"Completed",Arrivals!$J$3:$J$1000,"Future LR1")</x:f>
        <x:v>0</x:v>
      </x:c>
      <x:c r="C12" s="169" t="n">
        <x:f>SUMIFS(Arrivals!$G$3:$G$1000,Arrivals!$A$3:$A$1000,"&gt;="&amp;A12,Arrivals!$A$3:$A$1000,"&lt;"&amp;DATE(YEAR(A12),MONTH(A12)+1,1),Arrivals!$D$3:$D$1000,"Completed",Arrivals!$J$3:$J$1000,"Third-party")</x:f>
        <x:v>0</x:v>
      </x:c>
      <x:c r="D12" s="169" t="n">
        <x:f>SUMIFS(Arrivals!$G$3:$G$1000,Arrivals!$A$3:$A$1000,"&gt;="&amp;A12,Arrivals!$A$3:$A$1000,"&lt;"&amp;EDATE(A12,1),Arrivals!$D$3:$D$1000,"Scheduled")+SUMIFS(Arrivals!$G$3:$G$1000,Arrivals!$A$3:$A$1000,"&gt;="&amp;A12,Arrivals!$A$3:$A$1000,"&lt;"&amp;EDATE(A12,1),Arrivals!$D$3:$D$1000,"Berthed / Discharging")+SUMIFS(Arrivals!$G$3:$G$1000,Arrivals!$A$3:$A$1000,"&gt;="&amp;A12,Arrivals!$A$3:$A$1000,"&lt;"&amp;EDATE(A12,1),Arrivals!$D$3:$D$1000,"Anchored / Awaiting berth")</x:f>
        <x:v>0</x:v>
      </x:c>
      <x:c r="E12" s="169" t="n">
        <x:f>SUM(B12:D12)</x:f>
        <x:v>0</x:v>
      </x:c>
      <x:c r="F12" s="169" t="n">
        <x:f>SUM(E10:E12)</x:f>
        <x:v>0</x:v>
      </x:c>
      <x:c r="G12" s="179" t="str">
        <x:f>IF(A12&lt;DATE(2026,8,1),"Historical vessel list not backfilled",IF(A12=DATE(2026,8,1),"Live Aratu capture","Forward / update pending"))</x:f>
        <x:v>Historical vessel list not backfilled</x:v>
      </x:c>
      <x:c r="H12" s="169"/>
      <x:c r="I12" s="179" t="str">
        <x:f>IF(A12&lt;DATE(2026,8,1),"",IF(C12&gt;0,IF(B12&gt;0,"Future + third-party coexisting","Third-party only"),IF(B12&gt;0,"Future only","No tracked arrivals")))</x:f>
      </x:c>
      <x:c r="J12" s="179" t="str">
        <x:f>IF(A12=DATE(2026,8,1),"Completed + near-forward CODEBA data in Arrivals tab; ANP historical monthly backfill pending.","")</x:f>
      </x:c>
      <x:c r="K12" s="136"/>
      <x:c r="L12" s="136"/>
      <x:c r="M12" s="136"/>
      <x:c r="N12" s="136"/>
      <x:c r="O12" s="136"/>
      <x:c r="P12" s="136"/>
      <x:c r="Q12" s="136"/>
      <x:c r="R12" s="136"/>
      <x:c r="S12" s="136"/>
      <x:c r="T12" s="136"/>
      <x:c r="U12" s="136"/>
      <x:c r="V12" s="136"/>
      <x:c r="W12" s="136"/>
      <x:c r="X12" s="136"/>
      <x:c r="Y12" s="136"/>
      <x:c r="Z12" s="136"/>
    </x:row>
    <x:row r="13">
      <x:c r="A13" s="178" t="n">
        <x:v>45597</x:v>
      </x:c>
      <x:c r="B13" s="169" t="n">
        <x:f>SUMIFS(Arrivals!$G$3:$G$1000,Arrivals!$A$3:$A$1000,"&gt;="&amp;A13,Arrivals!$A$3:$A$1000,"&lt;"&amp;DATE(YEAR(A13),MONTH(A13)+1,1),Arrivals!$D$3:$D$1000,"Completed",Arrivals!$J$3:$J$1000,"Future LR1")</x:f>
        <x:v>0</x:v>
      </x:c>
      <x:c r="C13" s="169" t="n">
        <x:f>SUMIFS(Arrivals!$G$3:$G$1000,Arrivals!$A$3:$A$1000,"&gt;="&amp;A13,Arrivals!$A$3:$A$1000,"&lt;"&amp;DATE(YEAR(A13),MONTH(A13)+1,1),Arrivals!$D$3:$D$1000,"Completed",Arrivals!$J$3:$J$1000,"Third-party")</x:f>
        <x:v>0</x:v>
      </x:c>
      <x:c r="D13" s="169" t="n">
        <x:f>SUMIFS(Arrivals!$G$3:$G$1000,Arrivals!$A$3:$A$1000,"&gt;="&amp;A13,Arrivals!$A$3:$A$1000,"&lt;"&amp;EDATE(A13,1),Arrivals!$D$3:$D$1000,"Scheduled")+SUMIFS(Arrivals!$G$3:$G$1000,Arrivals!$A$3:$A$1000,"&gt;="&amp;A13,Arrivals!$A$3:$A$1000,"&lt;"&amp;EDATE(A13,1),Arrivals!$D$3:$D$1000,"Berthed / Discharging")+SUMIFS(Arrivals!$G$3:$G$1000,Arrivals!$A$3:$A$1000,"&gt;="&amp;A13,Arrivals!$A$3:$A$1000,"&lt;"&amp;EDATE(A13,1),Arrivals!$D$3:$D$1000,"Anchored / Awaiting berth")</x:f>
        <x:v>0</x:v>
      </x:c>
      <x:c r="E13" s="169" t="n">
        <x:f>SUM(B13:D13)</x:f>
        <x:v>0</x:v>
      </x:c>
      <x:c r="F13" s="169" t="n">
        <x:f>SUM(E11:E13)</x:f>
        <x:v>0</x:v>
      </x:c>
      <x:c r="G13" s="179" t="str">
        <x:f>IF(A13&lt;DATE(2026,8,1),"Historical vessel list not backfilled",IF(A13=DATE(2026,8,1),"Live Aratu capture","Forward / update pending"))</x:f>
        <x:v>Historical vessel list not backfilled</x:v>
      </x:c>
      <x:c r="H13" s="169"/>
      <x:c r="I13" s="179" t="str">
        <x:f>IF(A13&lt;DATE(2026,8,1),"",IF(C13&gt;0,IF(B13&gt;0,"Future + third-party coexisting","Third-party only"),IF(B13&gt;0,"Future only","No tracked arrivals")))</x:f>
      </x:c>
      <x:c r="J13" s="179" t="str">
        <x:f>IF(A13=DATE(2026,8,1),"Completed + near-forward CODEBA data in Arrivals tab; ANP historical monthly backfill pending.","")</x:f>
      </x:c>
      <x:c r="K13" s="136"/>
      <x:c r="L13" s="136"/>
      <x:c r="M13" s="136"/>
      <x:c r="N13" s="136"/>
      <x:c r="O13" s="136"/>
      <x:c r="P13" s="136"/>
      <x:c r="Q13" s="136"/>
      <x:c r="R13" s="136"/>
      <x:c r="S13" s="136"/>
      <x:c r="T13" s="136"/>
      <x:c r="U13" s="136"/>
      <x:c r="V13" s="136"/>
      <x:c r="W13" s="136"/>
      <x:c r="X13" s="136"/>
      <x:c r="Y13" s="136"/>
      <x:c r="Z13" s="136"/>
    </x:row>
    <x:row r="14">
      <x:c r="A14" s="178" t="n">
        <x:v>45627</x:v>
      </x:c>
      <x:c r="B14" s="169" t="n">
        <x:f>SUMIFS(Arrivals!$G$3:$G$1000,Arrivals!$A$3:$A$1000,"&gt;="&amp;A14,Arrivals!$A$3:$A$1000,"&lt;"&amp;DATE(YEAR(A14),MONTH(A14)+1,1),Arrivals!$D$3:$D$1000,"Completed",Arrivals!$J$3:$J$1000,"Future LR1")</x:f>
        <x:v>0</x:v>
      </x:c>
      <x:c r="C14" s="169" t="n">
        <x:f>SUMIFS(Arrivals!$G$3:$G$1000,Arrivals!$A$3:$A$1000,"&gt;="&amp;A14,Arrivals!$A$3:$A$1000,"&lt;"&amp;DATE(YEAR(A14),MONTH(A14)+1,1),Arrivals!$D$3:$D$1000,"Completed",Arrivals!$J$3:$J$1000,"Third-party")</x:f>
        <x:v>0</x:v>
      </x:c>
      <x:c r="D14" s="169" t="n">
        <x:f>SUMIFS(Arrivals!$G$3:$G$1000,Arrivals!$A$3:$A$1000,"&gt;="&amp;A14,Arrivals!$A$3:$A$1000,"&lt;"&amp;EDATE(A14,1),Arrivals!$D$3:$D$1000,"Scheduled")+SUMIFS(Arrivals!$G$3:$G$1000,Arrivals!$A$3:$A$1000,"&gt;="&amp;A14,Arrivals!$A$3:$A$1000,"&lt;"&amp;EDATE(A14,1),Arrivals!$D$3:$D$1000,"Berthed / Discharging")+SUMIFS(Arrivals!$G$3:$G$1000,Arrivals!$A$3:$A$1000,"&gt;="&amp;A14,Arrivals!$A$3:$A$1000,"&lt;"&amp;EDATE(A14,1),Arrivals!$D$3:$D$1000,"Anchored / Awaiting berth")</x:f>
        <x:v>0</x:v>
      </x:c>
      <x:c r="E14" s="169" t="n">
        <x:f>SUM(B14:D14)</x:f>
        <x:v>0</x:v>
      </x:c>
      <x:c r="F14" s="169" t="n">
        <x:f>SUM(E12:E14)</x:f>
        <x:v>0</x:v>
      </x:c>
      <x:c r="G14" s="179" t="str">
        <x:f>IF(A14&lt;DATE(2026,8,1),"Historical vessel list not backfilled",IF(A14=DATE(2026,8,1),"Live Aratu capture","Forward / update pending"))</x:f>
        <x:v>Historical vessel list not backfilled</x:v>
      </x:c>
      <x:c r="H14" s="169"/>
      <x:c r="I14" s="179" t="str">
        <x:f>IF(A14&lt;DATE(2026,8,1),"",IF(C14&gt;0,IF(B14&gt;0,"Future + third-party coexisting","Third-party only"),IF(B14&gt;0,"Future only","No tracked arrivals")))</x:f>
      </x:c>
      <x:c r="J14" s="179" t="str">
        <x:f>IF(A14=DATE(2026,8,1),"Completed + near-forward CODEBA data in Arrivals tab; ANP historical monthly backfill pending.","")</x:f>
      </x:c>
      <x:c r="K14" s="136"/>
      <x:c r="L14" s="136"/>
      <x:c r="M14" s="136"/>
      <x:c r="N14" s="136"/>
      <x:c r="O14" s="136"/>
      <x:c r="P14" s="136"/>
      <x:c r="Q14" s="136"/>
      <x:c r="R14" s="136"/>
      <x:c r="S14" s="136"/>
      <x:c r="T14" s="136"/>
      <x:c r="U14" s="136"/>
      <x:c r="V14" s="136"/>
      <x:c r="W14" s="136"/>
      <x:c r="X14" s="136"/>
      <x:c r="Y14" s="136"/>
      <x:c r="Z14" s="136"/>
    </x:row>
    <x:row r="15">
      <x:c r="A15" s="178" t="n">
        <x:v>45658</x:v>
      </x:c>
      <x:c r="B15" s="169" t="n">
        <x:f>SUMIFS(Arrivals!$G$3:$G$1000,Arrivals!$A$3:$A$1000,"&gt;="&amp;A15,Arrivals!$A$3:$A$1000,"&lt;"&amp;DATE(YEAR(A15),MONTH(A15)+1,1),Arrivals!$D$3:$D$1000,"Completed",Arrivals!$J$3:$J$1000,"Future LR1")</x:f>
        <x:v>0</x:v>
      </x:c>
      <x:c r="C15" s="169" t="n">
        <x:f>SUMIFS(Arrivals!$G$3:$G$1000,Arrivals!$A$3:$A$1000,"&gt;="&amp;A15,Arrivals!$A$3:$A$1000,"&lt;"&amp;DATE(YEAR(A15),MONTH(A15)+1,1),Arrivals!$D$3:$D$1000,"Completed",Arrivals!$J$3:$J$1000,"Third-party")</x:f>
        <x:v>0</x:v>
      </x:c>
      <x:c r="D15" s="169" t="n">
        <x:f>SUMIFS(Arrivals!$G$3:$G$1000,Arrivals!$A$3:$A$1000,"&gt;="&amp;A15,Arrivals!$A$3:$A$1000,"&lt;"&amp;EDATE(A15,1),Arrivals!$D$3:$D$1000,"Scheduled")+SUMIFS(Arrivals!$G$3:$G$1000,Arrivals!$A$3:$A$1000,"&gt;="&amp;A15,Arrivals!$A$3:$A$1000,"&lt;"&amp;EDATE(A15,1),Arrivals!$D$3:$D$1000,"Berthed / Discharging")+SUMIFS(Arrivals!$G$3:$G$1000,Arrivals!$A$3:$A$1000,"&gt;="&amp;A15,Arrivals!$A$3:$A$1000,"&lt;"&amp;EDATE(A15,1),Arrivals!$D$3:$D$1000,"Anchored / Awaiting berth")</x:f>
        <x:v>0</x:v>
      </x:c>
      <x:c r="E15" s="169" t="n">
        <x:f>SUM(B15:D15)</x:f>
        <x:v>0</x:v>
      </x:c>
      <x:c r="F15" s="169" t="n">
        <x:f>SUM(E13:E15)</x:f>
        <x:v>0</x:v>
      </x:c>
      <x:c r="G15" s="179" t="str">
        <x:f>IF(A15&lt;DATE(2026,8,1),"Historical vessel list not backfilled",IF(A15=DATE(2026,8,1),"Live Aratu capture","Forward / update pending"))</x:f>
        <x:v>Historical vessel list not backfilled</x:v>
      </x:c>
      <x:c r="H15" s="169"/>
      <x:c r="I15" s="179" t="str">
        <x:f>IF(A15&lt;DATE(2026,8,1),"",IF(C15&gt;0,IF(B15&gt;0,"Future + third-party coexisting","Third-party only"),IF(B15&gt;0,"Future only","No tracked arrivals")))</x:f>
      </x:c>
      <x:c r="J15" s="179" t="str">
        <x:f>IF(A15=DATE(2026,8,1),"Completed + near-forward CODEBA data in Arrivals tab; ANP historical monthly backfill pending.","")</x:f>
      </x:c>
      <x:c r="K15" s="136"/>
      <x:c r="L15" s="136"/>
      <x:c r="M15" s="136"/>
      <x:c r="N15" s="136"/>
      <x:c r="O15" s="136"/>
      <x:c r="P15" s="136"/>
      <x:c r="Q15" s="136"/>
      <x:c r="R15" s="136"/>
      <x:c r="S15" s="136"/>
      <x:c r="T15" s="136"/>
      <x:c r="U15" s="136"/>
      <x:c r="V15" s="136"/>
      <x:c r="W15" s="136"/>
      <x:c r="X15" s="136"/>
      <x:c r="Y15" s="136"/>
      <x:c r="Z15" s="136"/>
    </x:row>
    <x:row r="16">
      <x:c r="A16" s="178" t="n">
        <x:v>45689</x:v>
      </x:c>
      <x:c r="B16" s="169" t="n">
        <x:f>SUMIFS(Arrivals!$G$3:$G$1000,Arrivals!$A$3:$A$1000,"&gt;="&amp;A16,Arrivals!$A$3:$A$1000,"&lt;"&amp;DATE(YEAR(A16),MONTH(A16)+1,1),Arrivals!$D$3:$D$1000,"Completed",Arrivals!$J$3:$J$1000,"Future LR1")</x:f>
        <x:v>0</x:v>
      </x:c>
      <x:c r="C16" s="169" t="n">
        <x:f>SUMIFS(Arrivals!$G$3:$G$1000,Arrivals!$A$3:$A$1000,"&gt;="&amp;A16,Arrivals!$A$3:$A$1000,"&lt;"&amp;DATE(YEAR(A16),MONTH(A16)+1,1),Arrivals!$D$3:$D$1000,"Completed",Arrivals!$J$3:$J$1000,"Third-party")</x:f>
        <x:v>0</x:v>
      </x:c>
      <x:c r="D16" s="169" t="n">
        <x:f>SUMIFS(Arrivals!$G$3:$G$1000,Arrivals!$A$3:$A$1000,"&gt;="&amp;A16,Arrivals!$A$3:$A$1000,"&lt;"&amp;EDATE(A16,1),Arrivals!$D$3:$D$1000,"Scheduled")+SUMIFS(Arrivals!$G$3:$G$1000,Arrivals!$A$3:$A$1000,"&gt;="&amp;A16,Arrivals!$A$3:$A$1000,"&lt;"&amp;EDATE(A16,1),Arrivals!$D$3:$D$1000,"Berthed / Discharging")+SUMIFS(Arrivals!$G$3:$G$1000,Arrivals!$A$3:$A$1000,"&gt;="&amp;A16,Arrivals!$A$3:$A$1000,"&lt;"&amp;EDATE(A16,1),Arrivals!$D$3:$D$1000,"Anchored / Awaiting berth")</x:f>
        <x:v>0</x:v>
      </x:c>
      <x:c r="E16" s="169" t="n">
        <x:f>SUM(B16:D16)</x:f>
        <x:v>0</x:v>
      </x:c>
      <x:c r="F16" s="169" t="n">
        <x:f>SUM(E14:E16)</x:f>
        <x:v>0</x:v>
      </x:c>
      <x:c r="G16" s="179" t="str">
        <x:f>IF(A16&lt;DATE(2026,8,1),"Historical vessel list not backfilled",IF(A16=DATE(2026,8,1),"Live Aratu capture","Forward / update pending"))</x:f>
        <x:v>Historical vessel list not backfilled</x:v>
      </x:c>
      <x:c r="H16" s="169"/>
      <x:c r="I16" s="179" t="str">
        <x:f>IF(A16&lt;DATE(2026,8,1),"",IF(C16&gt;0,IF(B16&gt;0,"Future + third-party coexisting","Third-party only"),IF(B16&gt;0,"Future only","No tracked arrivals")))</x:f>
      </x:c>
      <x:c r="J16" s="179" t="str">
        <x:f>IF(A16=DATE(2026,8,1),"Completed + near-forward CODEBA data in Arrivals tab; ANP historical monthly backfill pending.","")</x:f>
      </x:c>
      <x:c r="K16" s="136"/>
      <x:c r="L16" s="136"/>
      <x:c r="M16" s="136"/>
      <x:c r="N16" s="136"/>
      <x:c r="O16" s="136"/>
      <x:c r="P16" s="136"/>
      <x:c r="Q16" s="136"/>
      <x:c r="R16" s="136"/>
      <x:c r="S16" s="136"/>
      <x:c r="T16" s="136"/>
      <x:c r="U16" s="136"/>
      <x:c r="V16" s="136"/>
      <x:c r="W16" s="136"/>
      <x:c r="X16" s="136"/>
      <x:c r="Y16" s="136"/>
      <x:c r="Z16" s="136"/>
    </x:row>
    <x:row r="17">
      <x:c r="A17" s="178" t="n">
        <x:v>45717</x:v>
      </x:c>
      <x:c r="B17" s="169" t="n">
        <x:f>SUMIFS(Arrivals!$G$3:$G$1000,Arrivals!$A$3:$A$1000,"&gt;="&amp;A17,Arrivals!$A$3:$A$1000,"&lt;"&amp;DATE(YEAR(A17),MONTH(A17)+1,1),Arrivals!$D$3:$D$1000,"Completed",Arrivals!$J$3:$J$1000,"Future LR1")</x:f>
        <x:v>0</x:v>
      </x:c>
      <x:c r="C17" s="169" t="n">
        <x:f>SUMIFS(Arrivals!$G$3:$G$1000,Arrivals!$A$3:$A$1000,"&gt;="&amp;A17,Arrivals!$A$3:$A$1000,"&lt;"&amp;DATE(YEAR(A17),MONTH(A17)+1,1),Arrivals!$D$3:$D$1000,"Completed",Arrivals!$J$3:$J$1000,"Third-party")</x:f>
        <x:v>0</x:v>
      </x:c>
      <x:c r="D17" s="169" t="n">
        <x:f>SUMIFS(Arrivals!$G$3:$G$1000,Arrivals!$A$3:$A$1000,"&gt;="&amp;A17,Arrivals!$A$3:$A$1000,"&lt;"&amp;EDATE(A17,1),Arrivals!$D$3:$D$1000,"Scheduled")+SUMIFS(Arrivals!$G$3:$G$1000,Arrivals!$A$3:$A$1000,"&gt;="&amp;A17,Arrivals!$A$3:$A$1000,"&lt;"&amp;EDATE(A17,1),Arrivals!$D$3:$D$1000,"Berthed / Discharging")+SUMIFS(Arrivals!$G$3:$G$1000,Arrivals!$A$3:$A$1000,"&gt;="&amp;A17,Arrivals!$A$3:$A$1000,"&lt;"&amp;EDATE(A17,1),Arrivals!$D$3:$D$1000,"Anchored / Awaiting berth")</x:f>
        <x:v>0</x:v>
      </x:c>
      <x:c r="E17" s="169" t="n">
        <x:f>SUM(B17:D17)</x:f>
        <x:v>0</x:v>
      </x:c>
      <x:c r="F17" s="169" t="n">
        <x:f>SUM(E15:E17)</x:f>
        <x:v>0</x:v>
      </x:c>
      <x:c r="G17" s="179" t="str">
        <x:f>IF(A17&lt;DATE(2026,8,1),"Historical vessel list not backfilled",IF(A17=DATE(2026,8,1),"Live Aratu capture","Forward / update pending"))</x:f>
        <x:v>Historical vessel list not backfilled</x:v>
      </x:c>
      <x:c r="H17" s="169"/>
      <x:c r="I17" s="179" t="str">
        <x:f>IF(A17&lt;DATE(2026,8,1),"",IF(C17&gt;0,IF(B17&gt;0,"Future + third-party coexisting","Third-party only"),IF(B17&gt;0,"Future only","No tracked arrivals")))</x:f>
      </x:c>
      <x:c r="J17" s="179" t="str">
        <x:f>IF(A17=DATE(2026,8,1),"Completed + near-forward CODEBA data in Arrivals tab; ANP historical monthly backfill pending.","")</x:f>
      </x:c>
      <x:c r="K17" s="136"/>
      <x:c r="L17" s="136"/>
      <x:c r="M17" s="136"/>
      <x:c r="N17" s="136"/>
      <x:c r="O17" s="136"/>
      <x:c r="P17" s="136"/>
      <x:c r="Q17" s="136"/>
      <x:c r="R17" s="136"/>
      <x:c r="S17" s="136"/>
      <x:c r="T17" s="136"/>
      <x:c r="U17" s="136"/>
      <x:c r="V17" s="136"/>
      <x:c r="W17" s="136"/>
      <x:c r="X17" s="136"/>
      <x:c r="Y17" s="136"/>
      <x:c r="Z17" s="136"/>
    </x:row>
    <x:row r="18">
      <x:c r="A18" s="178" t="n">
        <x:v>45748</x:v>
      </x:c>
      <x:c r="B18" s="169" t="n">
        <x:f>SUMIFS(Arrivals!$G$3:$G$1000,Arrivals!$A$3:$A$1000,"&gt;="&amp;A18,Arrivals!$A$3:$A$1000,"&lt;"&amp;DATE(YEAR(A18),MONTH(A18)+1,1),Arrivals!$D$3:$D$1000,"Completed",Arrivals!$J$3:$J$1000,"Future LR1")</x:f>
        <x:v>0</x:v>
      </x:c>
      <x:c r="C18" s="169" t="n">
        <x:f>SUMIFS(Arrivals!$G$3:$G$1000,Arrivals!$A$3:$A$1000,"&gt;="&amp;A18,Arrivals!$A$3:$A$1000,"&lt;"&amp;DATE(YEAR(A18),MONTH(A18)+1,1),Arrivals!$D$3:$D$1000,"Completed",Arrivals!$J$3:$J$1000,"Third-party")</x:f>
        <x:v>0</x:v>
      </x:c>
      <x:c r="D18" s="169" t="n">
        <x:f>SUMIFS(Arrivals!$G$3:$G$1000,Arrivals!$A$3:$A$1000,"&gt;="&amp;A18,Arrivals!$A$3:$A$1000,"&lt;"&amp;EDATE(A18,1),Arrivals!$D$3:$D$1000,"Scheduled")+SUMIFS(Arrivals!$G$3:$G$1000,Arrivals!$A$3:$A$1000,"&gt;="&amp;A18,Arrivals!$A$3:$A$1000,"&lt;"&amp;EDATE(A18,1),Arrivals!$D$3:$D$1000,"Berthed / Discharging")+SUMIFS(Arrivals!$G$3:$G$1000,Arrivals!$A$3:$A$1000,"&gt;="&amp;A18,Arrivals!$A$3:$A$1000,"&lt;"&amp;EDATE(A18,1),Arrivals!$D$3:$D$1000,"Anchored / Awaiting berth")</x:f>
        <x:v>0</x:v>
      </x:c>
      <x:c r="E18" s="169" t="n">
        <x:f>SUM(B18:D18)</x:f>
        <x:v>0</x:v>
      </x:c>
      <x:c r="F18" s="169" t="n">
        <x:f>SUM(E16:E18)</x:f>
        <x:v>0</x:v>
      </x:c>
      <x:c r="G18" s="179" t="str">
        <x:f>IF(A18&lt;DATE(2026,8,1),"Historical vessel list not backfilled",IF(A18=DATE(2026,8,1),"Live Aratu capture","Forward / update pending"))</x:f>
        <x:v>Historical vessel list not backfilled</x:v>
      </x:c>
      <x:c r="H18" s="169"/>
      <x:c r="I18" s="179" t="str">
        <x:f>IF(A18&lt;DATE(2026,8,1),"",IF(C18&gt;0,IF(B18&gt;0,"Future + third-party coexisting","Third-party only"),IF(B18&gt;0,"Future only","No tracked arrivals")))</x:f>
      </x:c>
      <x:c r="J18" s="179" t="str">
        <x:f>IF(A18=DATE(2026,8,1),"Completed + near-forward CODEBA data in Arrivals tab; ANP historical monthly backfill pending.","")</x:f>
      </x:c>
      <x:c r="K18" s="136"/>
      <x:c r="L18" s="136"/>
      <x:c r="M18" s="136"/>
      <x:c r="N18" s="136"/>
      <x:c r="O18" s="136"/>
      <x:c r="P18" s="136"/>
      <x:c r="Q18" s="136"/>
      <x:c r="R18" s="136"/>
      <x:c r="S18" s="136"/>
      <x:c r="T18" s="136"/>
      <x:c r="U18" s="136"/>
      <x:c r="V18" s="136"/>
      <x:c r="W18" s="136"/>
      <x:c r="X18" s="136"/>
      <x:c r="Y18" s="136"/>
      <x:c r="Z18" s="136"/>
    </x:row>
    <x:row r="19">
      <x:c r="A19" s="178" t="n">
        <x:v>45778</x:v>
      </x:c>
      <x:c r="B19" s="169" t="n">
        <x:f>SUMIFS(Arrivals!$G$3:$G$1000,Arrivals!$A$3:$A$1000,"&gt;="&amp;A19,Arrivals!$A$3:$A$1000,"&lt;"&amp;DATE(YEAR(A19),MONTH(A19)+1,1),Arrivals!$D$3:$D$1000,"Completed",Arrivals!$J$3:$J$1000,"Future LR1")</x:f>
        <x:v>0</x:v>
      </x:c>
      <x:c r="C19" s="169" t="n">
        <x:f>SUMIFS(Arrivals!$G$3:$G$1000,Arrivals!$A$3:$A$1000,"&gt;="&amp;A19,Arrivals!$A$3:$A$1000,"&lt;"&amp;DATE(YEAR(A19),MONTH(A19)+1,1),Arrivals!$D$3:$D$1000,"Completed",Arrivals!$J$3:$J$1000,"Third-party")</x:f>
        <x:v>0</x:v>
      </x:c>
      <x:c r="D19" s="169" t="n">
        <x:f>SUMIFS(Arrivals!$G$3:$G$1000,Arrivals!$A$3:$A$1000,"&gt;="&amp;A19,Arrivals!$A$3:$A$1000,"&lt;"&amp;EDATE(A19,1),Arrivals!$D$3:$D$1000,"Scheduled")+SUMIFS(Arrivals!$G$3:$G$1000,Arrivals!$A$3:$A$1000,"&gt;="&amp;A19,Arrivals!$A$3:$A$1000,"&lt;"&amp;EDATE(A19,1),Arrivals!$D$3:$D$1000,"Berthed / Discharging")+SUMIFS(Arrivals!$G$3:$G$1000,Arrivals!$A$3:$A$1000,"&gt;="&amp;A19,Arrivals!$A$3:$A$1000,"&lt;"&amp;EDATE(A19,1),Arrivals!$D$3:$D$1000,"Anchored / Awaiting berth")</x:f>
        <x:v>0</x:v>
      </x:c>
      <x:c r="E19" s="169" t="n">
        <x:f>SUM(B19:D19)</x:f>
        <x:v>0</x:v>
      </x:c>
      <x:c r="F19" s="169" t="n">
        <x:f>SUM(E17:E19)</x:f>
        <x:v>0</x:v>
      </x:c>
      <x:c r="G19" s="179" t="str">
        <x:f>IF(A19&lt;DATE(2026,8,1),"Historical vessel list not backfilled",IF(A19=DATE(2026,8,1),"Live Aratu capture","Forward / update pending"))</x:f>
        <x:v>Historical vessel list not backfilled</x:v>
      </x:c>
      <x:c r="H19" s="169"/>
      <x:c r="I19" s="179" t="str">
        <x:f>IF(A19&lt;DATE(2026,8,1),"",IF(C19&gt;0,IF(B19&gt;0,"Future + third-party coexisting","Third-party only"),IF(B19&gt;0,"Future only","No tracked arrivals")))</x:f>
      </x:c>
      <x:c r="J19" s="179" t="str">
        <x:f>IF(A19=DATE(2026,8,1),"Completed + near-forward CODEBA data in Arrivals tab; ANP historical monthly backfill pending.","")</x:f>
      </x:c>
      <x:c r="K19" s="136"/>
      <x:c r="L19" s="136"/>
      <x:c r="M19" s="136"/>
      <x:c r="N19" s="136"/>
      <x:c r="O19" s="136"/>
      <x:c r="P19" s="136"/>
      <x:c r="Q19" s="136"/>
      <x:c r="R19" s="136"/>
      <x:c r="S19" s="136"/>
      <x:c r="T19" s="136"/>
      <x:c r="U19" s="136"/>
      <x:c r="V19" s="136"/>
      <x:c r="W19" s="136"/>
      <x:c r="X19" s="136"/>
      <x:c r="Y19" s="136"/>
      <x:c r="Z19" s="136"/>
    </x:row>
    <x:row r="20">
      <x:c r="A20" s="178" t="n">
        <x:v>45809</x:v>
      </x:c>
      <x:c r="B20" s="169" t="n">
        <x:f>SUMIFS(Arrivals!$G$3:$G$1000,Arrivals!$A$3:$A$1000,"&gt;="&amp;A20,Arrivals!$A$3:$A$1000,"&lt;"&amp;DATE(YEAR(A20),MONTH(A20)+1,1),Arrivals!$D$3:$D$1000,"Completed",Arrivals!$J$3:$J$1000,"Future LR1")</x:f>
        <x:v>0</x:v>
      </x:c>
      <x:c r="C20" s="169" t="n">
        <x:f>SUMIFS(Arrivals!$G$3:$G$1000,Arrivals!$A$3:$A$1000,"&gt;="&amp;A20,Arrivals!$A$3:$A$1000,"&lt;"&amp;DATE(YEAR(A20),MONTH(A20)+1,1),Arrivals!$D$3:$D$1000,"Completed",Arrivals!$J$3:$J$1000,"Third-party")</x:f>
        <x:v>0</x:v>
      </x:c>
      <x:c r="D20" s="169" t="n">
        <x:f>SUMIFS(Arrivals!$G$3:$G$1000,Arrivals!$A$3:$A$1000,"&gt;="&amp;A20,Arrivals!$A$3:$A$1000,"&lt;"&amp;EDATE(A20,1),Arrivals!$D$3:$D$1000,"Scheduled")+SUMIFS(Arrivals!$G$3:$G$1000,Arrivals!$A$3:$A$1000,"&gt;="&amp;A20,Arrivals!$A$3:$A$1000,"&lt;"&amp;EDATE(A20,1),Arrivals!$D$3:$D$1000,"Berthed / Discharging")+SUMIFS(Arrivals!$G$3:$G$1000,Arrivals!$A$3:$A$1000,"&gt;="&amp;A20,Arrivals!$A$3:$A$1000,"&lt;"&amp;EDATE(A20,1),Arrivals!$D$3:$D$1000,"Anchored / Awaiting berth")</x:f>
        <x:v>0</x:v>
      </x:c>
      <x:c r="E20" s="169" t="n">
        <x:f>SUM(B20:D20)</x:f>
        <x:v>0</x:v>
      </x:c>
      <x:c r="F20" s="169" t="n">
        <x:f>SUM(E18:E20)</x:f>
        <x:v>0</x:v>
      </x:c>
      <x:c r="G20" s="179" t="str">
        <x:f>IF(A20&lt;DATE(2026,8,1),"Historical vessel list not backfilled",IF(A20=DATE(2026,8,1),"Live Aratu capture","Forward / update pending"))</x:f>
        <x:v>Historical vessel list not backfilled</x:v>
      </x:c>
      <x:c r="H20" s="169"/>
      <x:c r="I20" s="179" t="str">
        <x:f>IF(A20&lt;DATE(2026,8,1),"",IF(C20&gt;0,IF(B20&gt;0,"Future + third-party coexisting","Third-party only"),IF(B20&gt;0,"Future only","No tracked arrivals")))</x:f>
      </x:c>
      <x:c r="J20" s="179" t="str">
        <x:f>IF(A20=DATE(2026,8,1),"Completed + near-forward CODEBA data in Arrivals tab; ANP historical monthly backfill pending.","")</x:f>
      </x:c>
      <x:c r="K20" s="136"/>
      <x:c r="L20" s="136"/>
      <x:c r="M20" s="136"/>
      <x:c r="N20" s="136"/>
      <x:c r="O20" s="136"/>
      <x:c r="P20" s="136"/>
      <x:c r="Q20" s="136"/>
      <x:c r="R20" s="136"/>
      <x:c r="S20" s="136"/>
      <x:c r="T20" s="136"/>
      <x:c r="U20" s="136"/>
      <x:c r="V20" s="136"/>
      <x:c r="W20" s="136"/>
      <x:c r="X20" s="136"/>
      <x:c r="Y20" s="136"/>
      <x:c r="Z20" s="136"/>
    </x:row>
    <x:row r="21">
      <x:c r="A21" s="178" t="n">
        <x:v>45839</x:v>
      </x:c>
      <x:c r="B21" s="169" t="n">
        <x:f>SUMIFS(Arrivals!$G$3:$G$1000,Arrivals!$A$3:$A$1000,"&gt;="&amp;A21,Arrivals!$A$3:$A$1000,"&lt;"&amp;DATE(YEAR(A21),MONTH(A21)+1,1),Arrivals!$D$3:$D$1000,"Completed",Arrivals!$J$3:$J$1000,"Future LR1")</x:f>
        <x:v>0</x:v>
      </x:c>
      <x:c r="C21" s="169" t="n">
        <x:f>SUMIFS(Arrivals!$G$3:$G$1000,Arrivals!$A$3:$A$1000,"&gt;="&amp;A21,Arrivals!$A$3:$A$1000,"&lt;"&amp;DATE(YEAR(A21),MONTH(A21)+1,1),Arrivals!$D$3:$D$1000,"Completed",Arrivals!$J$3:$J$1000,"Third-party")</x:f>
        <x:v>0</x:v>
      </x:c>
      <x:c r="D21" s="169" t="n">
        <x:f>SUMIFS(Arrivals!$G$3:$G$1000,Arrivals!$A$3:$A$1000,"&gt;="&amp;A21,Arrivals!$A$3:$A$1000,"&lt;"&amp;EDATE(A21,1),Arrivals!$D$3:$D$1000,"Scheduled")+SUMIFS(Arrivals!$G$3:$G$1000,Arrivals!$A$3:$A$1000,"&gt;="&amp;A21,Arrivals!$A$3:$A$1000,"&lt;"&amp;EDATE(A21,1),Arrivals!$D$3:$D$1000,"Berthed / Discharging")+SUMIFS(Arrivals!$G$3:$G$1000,Arrivals!$A$3:$A$1000,"&gt;="&amp;A21,Arrivals!$A$3:$A$1000,"&lt;"&amp;EDATE(A21,1),Arrivals!$D$3:$D$1000,"Anchored / Awaiting berth")</x:f>
        <x:v>0</x:v>
      </x:c>
      <x:c r="E21" s="169" t="n">
        <x:f>SUM(B21:D21)</x:f>
        <x:v>0</x:v>
      </x:c>
      <x:c r="F21" s="169" t="n">
        <x:f>SUM(E19:E21)</x:f>
        <x:v>0</x:v>
      </x:c>
      <x:c r="G21" s="179" t="str">
        <x:f>IF(A21&lt;DATE(2026,8,1),"Historical vessel list not backfilled",IF(A21=DATE(2026,8,1),"Live Aratu capture","Forward / update pending"))</x:f>
        <x:v>Historical vessel list not backfilled</x:v>
      </x:c>
      <x:c r="H21" s="169"/>
      <x:c r="I21" s="179" t="str">
        <x:f>IF(A21&lt;DATE(2026,8,1),"",IF(C21&gt;0,IF(B21&gt;0,"Future + third-party coexisting","Third-party only"),IF(B21&gt;0,"Future only","No tracked arrivals")))</x:f>
      </x:c>
      <x:c r="J21" s="179" t="str">
        <x:f>IF(A21=DATE(2026,8,1),"Completed + near-forward CODEBA data in Arrivals tab; ANP historical monthly backfill pending.","")</x:f>
      </x:c>
      <x:c r="K21" s="136"/>
      <x:c r="L21" s="136"/>
      <x:c r="M21" s="136"/>
      <x:c r="N21" s="136"/>
      <x:c r="O21" s="136"/>
      <x:c r="P21" s="136"/>
      <x:c r="Q21" s="136"/>
      <x:c r="R21" s="136"/>
      <x:c r="S21" s="136"/>
      <x:c r="T21" s="136"/>
      <x:c r="U21" s="136"/>
      <x:c r="V21" s="136"/>
      <x:c r="W21" s="136"/>
      <x:c r="X21" s="136"/>
      <x:c r="Y21" s="136"/>
      <x:c r="Z21" s="136"/>
    </x:row>
    <x:row r="22">
      <x:c r="A22" s="178" t="n">
        <x:v>45870</x:v>
      </x:c>
      <x:c r="B22" s="169" t="n">
        <x:f>SUMIFS(Arrivals!$G$3:$G$1000,Arrivals!$A$3:$A$1000,"&gt;="&amp;A22,Arrivals!$A$3:$A$1000,"&lt;"&amp;DATE(YEAR(A22),MONTH(A22)+1,1),Arrivals!$D$3:$D$1000,"Completed",Arrivals!$J$3:$J$1000,"Future LR1")</x:f>
        <x:v>0</x:v>
      </x:c>
      <x:c r="C22" s="169" t="n">
        <x:f>SUMIFS(Arrivals!$G$3:$G$1000,Arrivals!$A$3:$A$1000,"&gt;="&amp;A22,Arrivals!$A$3:$A$1000,"&lt;"&amp;DATE(YEAR(A22),MONTH(A22)+1,1),Arrivals!$D$3:$D$1000,"Completed",Arrivals!$J$3:$J$1000,"Third-party")</x:f>
        <x:v>0</x:v>
      </x:c>
      <x:c r="D22" s="169" t="n">
        <x:f>SUMIFS(Arrivals!$G$3:$G$1000,Arrivals!$A$3:$A$1000,"&gt;="&amp;A22,Arrivals!$A$3:$A$1000,"&lt;"&amp;EDATE(A22,1),Arrivals!$D$3:$D$1000,"Scheduled")+SUMIFS(Arrivals!$G$3:$G$1000,Arrivals!$A$3:$A$1000,"&gt;="&amp;A22,Arrivals!$A$3:$A$1000,"&lt;"&amp;EDATE(A22,1),Arrivals!$D$3:$D$1000,"Berthed / Discharging")+SUMIFS(Arrivals!$G$3:$G$1000,Arrivals!$A$3:$A$1000,"&gt;="&amp;A22,Arrivals!$A$3:$A$1000,"&lt;"&amp;EDATE(A22,1),Arrivals!$D$3:$D$1000,"Anchored / Awaiting berth")</x:f>
        <x:v>0</x:v>
      </x:c>
      <x:c r="E22" s="169" t="n">
        <x:f>SUM(B22:D22)</x:f>
        <x:v>0</x:v>
      </x:c>
      <x:c r="F22" s="169" t="n">
        <x:f>SUM(E20:E22)</x:f>
        <x:v>0</x:v>
      </x:c>
      <x:c r="G22" s="179" t="str">
        <x:f>IF(A22&lt;DATE(2026,8,1),"Historical vessel list not backfilled",IF(A22=DATE(2026,8,1),"Live Aratu capture","Forward / update pending"))</x:f>
        <x:v>Historical vessel list not backfilled</x:v>
      </x:c>
      <x:c r="H22" s="169"/>
      <x:c r="I22" s="179" t="str">
        <x:f>IF(A22&lt;DATE(2026,8,1),"",IF(C22&gt;0,IF(B22&gt;0,"Future + third-party coexisting","Third-party only"),IF(B22&gt;0,"Future only","No tracked arrivals")))</x:f>
      </x:c>
      <x:c r="J22" s="179" t="str">
        <x:f>IF(A22=DATE(2026,8,1),"Completed + near-forward CODEBA data in Arrivals tab; ANP historical monthly backfill pending.","")</x:f>
      </x:c>
      <x:c r="K22" s="136"/>
      <x:c r="L22" s="136"/>
      <x:c r="M22" s="136"/>
      <x:c r="N22" s="136"/>
      <x:c r="O22" s="136"/>
      <x:c r="P22" s="136"/>
      <x:c r="Q22" s="136"/>
      <x:c r="R22" s="136"/>
      <x:c r="S22" s="136"/>
      <x:c r="T22" s="136"/>
      <x:c r="U22" s="136"/>
      <x:c r="V22" s="136"/>
      <x:c r="W22" s="136"/>
      <x:c r="X22" s="136"/>
      <x:c r="Y22" s="136"/>
      <x:c r="Z22" s="136"/>
    </x:row>
    <x:row r="23">
      <x:c r="A23" s="178" t="n">
        <x:v>45901</x:v>
      </x:c>
      <x:c r="B23" s="169" t="n">
        <x:f>SUMIFS(Arrivals!$G$3:$G$1000,Arrivals!$A$3:$A$1000,"&gt;="&amp;A23,Arrivals!$A$3:$A$1000,"&lt;"&amp;DATE(YEAR(A23),MONTH(A23)+1,1),Arrivals!$D$3:$D$1000,"Completed",Arrivals!$J$3:$J$1000,"Future LR1")</x:f>
        <x:v>0</x:v>
      </x:c>
      <x:c r="C23" s="169" t="n">
        <x:f>SUMIFS(Arrivals!$G$3:$G$1000,Arrivals!$A$3:$A$1000,"&gt;="&amp;A23,Arrivals!$A$3:$A$1000,"&lt;"&amp;DATE(YEAR(A23),MONTH(A23)+1,1),Arrivals!$D$3:$D$1000,"Completed",Arrivals!$J$3:$J$1000,"Third-party")</x:f>
        <x:v>0</x:v>
      </x:c>
      <x:c r="D23" s="169" t="n">
        <x:f>SUMIFS(Arrivals!$G$3:$G$1000,Arrivals!$A$3:$A$1000,"&gt;="&amp;A23,Arrivals!$A$3:$A$1000,"&lt;"&amp;EDATE(A23,1),Arrivals!$D$3:$D$1000,"Scheduled")+SUMIFS(Arrivals!$G$3:$G$1000,Arrivals!$A$3:$A$1000,"&gt;="&amp;A23,Arrivals!$A$3:$A$1000,"&lt;"&amp;EDATE(A23,1),Arrivals!$D$3:$D$1000,"Berthed / Discharging")+SUMIFS(Arrivals!$G$3:$G$1000,Arrivals!$A$3:$A$1000,"&gt;="&amp;A23,Arrivals!$A$3:$A$1000,"&lt;"&amp;EDATE(A23,1),Arrivals!$D$3:$D$1000,"Anchored / Awaiting berth")</x:f>
        <x:v>0</x:v>
      </x:c>
      <x:c r="E23" s="169" t="n">
        <x:f>SUM(B23:D23)</x:f>
        <x:v>0</x:v>
      </x:c>
      <x:c r="F23" s="169" t="n">
        <x:f>SUM(E21:E23)</x:f>
        <x:v>0</x:v>
      </x:c>
      <x:c r="G23" s="179" t="str">
        <x:f>IF(A23&lt;DATE(2026,8,1),"Historical vessel list not backfilled",IF(A23=DATE(2026,8,1),"Live Aratu capture","Forward / update pending"))</x:f>
        <x:v>Historical vessel list not backfilled</x:v>
      </x:c>
      <x:c r="H23" s="169"/>
      <x:c r="I23" s="179" t="str">
        <x:f>IF(A23&lt;DATE(2026,8,1),"",IF(C23&gt;0,IF(B23&gt;0,"Future + third-party coexisting","Third-party only"),IF(B23&gt;0,"Future only","No tracked arrivals")))</x:f>
      </x:c>
      <x:c r="J23" s="179" t="str">
        <x:f>IF(A23=DATE(2026,8,1),"Completed + near-forward CODEBA data in Arrivals tab; ANP historical monthly backfill pending.","")</x:f>
      </x:c>
      <x:c r="K23" s="136"/>
      <x:c r="L23" s="136"/>
      <x:c r="M23" s="136"/>
      <x:c r="N23" s="136"/>
      <x:c r="O23" s="136"/>
      <x:c r="P23" s="136"/>
      <x:c r="Q23" s="136"/>
      <x:c r="R23" s="136"/>
      <x:c r="S23" s="136"/>
      <x:c r="T23" s="136"/>
      <x:c r="U23" s="136"/>
      <x:c r="V23" s="136"/>
      <x:c r="W23" s="136"/>
      <x:c r="X23" s="136"/>
      <x:c r="Y23" s="136"/>
      <x:c r="Z23" s="136"/>
    </x:row>
    <x:row r="24">
      <x:c r="A24" s="178" t="n">
        <x:v>45931</x:v>
      </x:c>
      <x:c r="B24" s="169" t="n">
        <x:f>SUMIFS(Arrivals!$G$3:$G$1000,Arrivals!$A$3:$A$1000,"&gt;="&amp;A24,Arrivals!$A$3:$A$1000,"&lt;"&amp;DATE(YEAR(A24),MONTH(A24)+1,1),Arrivals!$D$3:$D$1000,"Completed",Arrivals!$J$3:$J$1000,"Future LR1")</x:f>
        <x:v>0</x:v>
      </x:c>
      <x:c r="C24" s="169" t="n">
        <x:f>SUMIFS(Arrivals!$G$3:$G$1000,Arrivals!$A$3:$A$1000,"&gt;="&amp;A24,Arrivals!$A$3:$A$1000,"&lt;"&amp;DATE(YEAR(A24),MONTH(A24)+1,1),Arrivals!$D$3:$D$1000,"Completed",Arrivals!$J$3:$J$1000,"Third-party")</x:f>
        <x:v>0</x:v>
      </x:c>
      <x:c r="D24" s="169" t="n">
        <x:f>SUMIFS(Arrivals!$G$3:$G$1000,Arrivals!$A$3:$A$1000,"&gt;="&amp;A24,Arrivals!$A$3:$A$1000,"&lt;"&amp;EDATE(A24,1),Arrivals!$D$3:$D$1000,"Scheduled")+SUMIFS(Arrivals!$G$3:$G$1000,Arrivals!$A$3:$A$1000,"&gt;="&amp;A24,Arrivals!$A$3:$A$1000,"&lt;"&amp;EDATE(A24,1),Arrivals!$D$3:$D$1000,"Berthed / Discharging")+SUMIFS(Arrivals!$G$3:$G$1000,Arrivals!$A$3:$A$1000,"&gt;="&amp;A24,Arrivals!$A$3:$A$1000,"&lt;"&amp;EDATE(A24,1),Arrivals!$D$3:$D$1000,"Anchored / Awaiting berth")</x:f>
        <x:v>0</x:v>
      </x:c>
      <x:c r="E24" s="169" t="n">
        <x:f>SUM(B24:D24)</x:f>
        <x:v>0</x:v>
      </x:c>
      <x:c r="F24" s="169" t="n">
        <x:f>SUM(E22:E24)</x:f>
        <x:v>0</x:v>
      </x:c>
      <x:c r="G24" s="179" t="str">
        <x:f>IF(A24&lt;DATE(2026,8,1),"Historical vessel list not backfilled",IF(A24=DATE(2026,8,1),"Live Aratu capture","Forward / update pending"))</x:f>
        <x:v>Historical vessel list not backfilled</x:v>
      </x:c>
      <x:c r="H24" s="169"/>
      <x:c r="I24" s="179" t="str">
        <x:f>IF(A24&lt;DATE(2026,8,1),"",IF(C24&gt;0,IF(B24&gt;0,"Future + third-party coexisting","Third-party only"),IF(B24&gt;0,"Future only","No tracked arrivals")))</x:f>
      </x:c>
      <x:c r="J24" s="179" t="str">
        <x:f>IF(A24=DATE(2026,8,1),"Completed + near-forward CODEBA data in Arrivals tab; ANP historical monthly backfill pending.","")</x:f>
      </x:c>
      <x:c r="K24" s="136"/>
      <x:c r="L24" s="136"/>
      <x:c r="M24" s="136"/>
      <x:c r="N24" s="136"/>
      <x:c r="O24" s="136"/>
      <x:c r="P24" s="136"/>
      <x:c r="Q24" s="136"/>
      <x:c r="R24" s="136"/>
      <x:c r="S24" s="136"/>
      <x:c r="T24" s="136"/>
      <x:c r="U24" s="136"/>
      <x:c r="V24" s="136"/>
      <x:c r="W24" s="136"/>
      <x:c r="X24" s="136"/>
      <x:c r="Y24" s="136"/>
      <x:c r="Z24" s="136"/>
    </x:row>
    <x:row r="25">
      <x:c r="A25" s="178" t="n">
        <x:v>45962</x:v>
      </x:c>
      <x:c r="B25" s="169" t="n">
        <x:f>SUMIFS(Arrivals!$G$3:$G$1000,Arrivals!$A$3:$A$1000,"&gt;="&amp;A25,Arrivals!$A$3:$A$1000,"&lt;"&amp;DATE(YEAR(A25),MONTH(A25)+1,1),Arrivals!$D$3:$D$1000,"Completed",Arrivals!$J$3:$J$1000,"Future LR1")</x:f>
        <x:v>0</x:v>
      </x:c>
      <x:c r="C25" s="169" t="n">
        <x:f>SUMIFS(Arrivals!$G$3:$G$1000,Arrivals!$A$3:$A$1000,"&gt;="&amp;A25,Arrivals!$A$3:$A$1000,"&lt;"&amp;DATE(YEAR(A25),MONTH(A25)+1,1),Arrivals!$D$3:$D$1000,"Completed",Arrivals!$J$3:$J$1000,"Third-party")</x:f>
        <x:v>0</x:v>
      </x:c>
      <x:c r="D25" s="169" t="n">
        <x:f>SUMIFS(Arrivals!$G$3:$G$1000,Arrivals!$A$3:$A$1000,"&gt;="&amp;A25,Arrivals!$A$3:$A$1000,"&lt;"&amp;EDATE(A25,1),Arrivals!$D$3:$D$1000,"Scheduled")+SUMIFS(Arrivals!$G$3:$G$1000,Arrivals!$A$3:$A$1000,"&gt;="&amp;A25,Arrivals!$A$3:$A$1000,"&lt;"&amp;EDATE(A25,1),Arrivals!$D$3:$D$1000,"Berthed / Discharging")+SUMIFS(Arrivals!$G$3:$G$1000,Arrivals!$A$3:$A$1000,"&gt;="&amp;A25,Arrivals!$A$3:$A$1000,"&lt;"&amp;EDATE(A25,1),Arrivals!$D$3:$D$1000,"Anchored / Awaiting berth")</x:f>
        <x:v>0</x:v>
      </x:c>
      <x:c r="E25" s="169" t="n">
        <x:f>SUM(B25:D25)</x:f>
        <x:v>0</x:v>
      </x:c>
      <x:c r="F25" s="169" t="n">
        <x:f>SUM(E23:E25)</x:f>
        <x:v>0</x:v>
      </x:c>
      <x:c r="G25" s="179" t="str">
        <x:f>IF(A25&lt;DATE(2026,8,1),"Historical vessel list not backfilled",IF(A25=DATE(2026,8,1),"Live Aratu capture","Forward / update pending"))</x:f>
        <x:v>Historical vessel list not backfilled</x:v>
      </x:c>
      <x:c r="H25" s="169"/>
      <x:c r="I25" s="179" t="str">
        <x:f>IF(A25&lt;DATE(2026,8,1),"",IF(C25&gt;0,IF(B25&gt;0,"Future + third-party coexisting","Third-party only"),IF(B25&gt;0,"Future only","No tracked arrivals")))</x:f>
      </x:c>
      <x:c r="J25" s="179" t="str">
        <x:f>IF(A25=DATE(2026,8,1),"Completed + near-forward CODEBA data in Arrivals tab; ANP historical monthly backfill pending.","")</x:f>
      </x:c>
      <x:c r="K25" s="136"/>
      <x:c r="L25" s="136"/>
      <x:c r="M25" s="136"/>
      <x:c r="N25" s="136"/>
      <x:c r="O25" s="136"/>
      <x:c r="P25" s="136"/>
      <x:c r="Q25" s="136"/>
      <x:c r="R25" s="136"/>
      <x:c r="S25" s="136"/>
      <x:c r="T25" s="136"/>
      <x:c r="U25" s="136"/>
      <x:c r="V25" s="136"/>
      <x:c r="W25" s="136"/>
      <x:c r="X25" s="136"/>
      <x:c r="Y25" s="136"/>
      <x:c r="Z25" s="136"/>
    </x:row>
    <x:row r="26">
      <x:c r="A26" s="178" t="n">
        <x:v>45992</x:v>
      </x:c>
      <x:c r="B26" s="169" t="n">
        <x:f>SUMIFS(Arrivals!$G$3:$G$1000,Arrivals!$A$3:$A$1000,"&gt;="&amp;A26,Arrivals!$A$3:$A$1000,"&lt;"&amp;DATE(YEAR(A26),MONTH(A26)+1,1),Arrivals!$D$3:$D$1000,"Completed",Arrivals!$J$3:$J$1000,"Future LR1")</x:f>
        <x:v>0</x:v>
      </x:c>
      <x:c r="C26" s="169" t="n">
        <x:f>SUMIFS(Arrivals!$G$3:$G$1000,Arrivals!$A$3:$A$1000,"&gt;="&amp;A26,Arrivals!$A$3:$A$1000,"&lt;"&amp;DATE(YEAR(A26),MONTH(A26)+1,1),Arrivals!$D$3:$D$1000,"Completed",Arrivals!$J$3:$J$1000,"Third-party")</x:f>
        <x:v>0</x:v>
      </x:c>
      <x:c r="D26" s="169" t="n">
        <x:f>SUMIFS(Arrivals!$G$3:$G$1000,Arrivals!$A$3:$A$1000,"&gt;="&amp;A26,Arrivals!$A$3:$A$1000,"&lt;"&amp;EDATE(A26,1),Arrivals!$D$3:$D$1000,"Scheduled")+SUMIFS(Arrivals!$G$3:$G$1000,Arrivals!$A$3:$A$1000,"&gt;="&amp;A26,Arrivals!$A$3:$A$1000,"&lt;"&amp;EDATE(A26,1),Arrivals!$D$3:$D$1000,"Berthed / Discharging")+SUMIFS(Arrivals!$G$3:$G$1000,Arrivals!$A$3:$A$1000,"&gt;="&amp;A26,Arrivals!$A$3:$A$1000,"&lt;"&amp;EDATE(A26,1),Arrivals!$D$3:$D$1000,"Anchored / Awaiting berth")</x:f>
        <x:v>0</x:v>
      </x:c>
      <x:c r="E26" s="169" t="n">
        <x:f>SUM(B26:D26)</x:f>
        <x:v>0</x:v>
      </x:c>
      <x:c r="F26" s="169" t="n">
        <x:f>SUM(E24:E26)</x:f>
        <x:v>0</x:v>
      </x:c>
      <x:c r="G26" s="179" t="str">
        <x:f>IF(A26&lt;DATE(2026,8,1),"Historical vessel list not backfilled",IF(A26=DATE(2026,8,1),"Live Aratu capture","Forward / update pending"))</x:f>
        <x:v>Historical vessel list not backfilled</x:v>
      </x:c>
      <x:c r="H26" s="169"/>
      <x:c r="I26" s="179" t="str">
        <x:f>IF(A26&lt;DATE(2026,8,1),"",IF(C26&gt;0,IF(B26&gt;0,"Future + third-party coexisting","Third-party only"),IF(B26&gt;0,"Future only","No tracked arrivals")))</x:f>
      </x:c>
      <x:c r="J26" s="179" t="str">
        <x:f>IF(A26=DATE(2026,8,1),"Completed + near-forward CODEBA data in Arrivals tab; ANP historical monthly backfill pending.","")</x:f>
      </x:c>
      <x:c r="K26" s="136"/>
      <x:c r="L26" s="136"/>
      <x:c r="M26" s="136"/>
      <x:c r="N26" s="136"/>
      <x:c r="O26" s="136"/>
      <x:c r="P26" s="136"/>
      <x:c r="Q26" s="136"/>
      <x:c r="R26" s="136"/>
      <x:c r="S26" s="136"/>
      <x:c r="T26" s="136"/>
      <x:c r="U26" s="136"/>
      <x:c r="V26" s="136"/>
      <x:c r="W26" s="136"/>
      <x:c r="X26" s="136"/>
      <x:c r="Y26" s="136"/>
      <x:c r="Z26" s="136"/>
    </x:row>
    <x:row r="27">
      <x:c r="A27" s="178" t="n">
        <x:v>46023</x:v>
      </x:c>
      <x:c r="B27" s="169"/>
      <x:c r="C27" s="169"/>
      <x:c r="D27" s="169" t="n">
        <x:f>SUMIFS(Arrivals!$G$3:$G$1000,Arrivals!$A$3:$A$1000,"&gt;="&amp;A27,Arrivals!$A$3:$A$1000,"&lt;"&amp;EDATE(A27,1),Arrivals!$D$3:$D$1000,"Scheduled")+SUMIFS(Arrivals!$G$3:$G$1000,Arrivals!$A$3:$A$1000,"&gt;="&amp;A27,Arrivals!$A$3:$A$1000,"&lt;"&amp;EDATE(A27,1),Arrivals!$D$3:$D$1000,"Berthed / Discharging")+SUMIFS(Arrivals!$G$3:$G$1000,Arrivals!$A$3:$A$1000,"&gt;="&amp;A27,Arrivals!$A$3:$A$1000,"&lt;"&amp;EDATE(A27,1),Arrivals!$D$3:$D$1000,"Anchored / Awaiting berth")</x:f>
        <x:v>0</x:v>
      </x:c>
      <x:c r="E27" s="169"/>
      <x:c r="F27" s="169"/>
      <x:c r="G27" s="216" t="str">
        <x:v>2026 backfill: vessel-level history not recovered</x:v>
      </x:c>
      <x:c r="H27" s="215"/>
      <x:c r="I27" s="179" t="str">
        <x:f>IF(A27&lt;DATE(2026,8,1),"",IF(C27&gt;0,IF(B27&gt;0,"Future + third-party coexisting","Third-party only"),IF(B27&gt;0,"Future only","No tracked arrivals")))</x:f>
      </x:c>
      <x:c r="J27" s="116" t="str">
        <x:v>Vessel-level Braskem naphtha fields intentionally blank, not zero.</x:v>
      </x:c>
      <x:c r="K27" s="136"/>
      <x:c r="L27" s="136"/>
      <x:c r="M27" s="136"/>
      <x:c r="N27" s="136"/>
      <x:c r="O27" s="136"/>
      <x:c r="P27" s="136"/>
      <x:c r="Q27" s="136"/>
      <x:c r="R27" s="136"/>
      <x:c r="S27" s="136"/>
      <x:c r="T27" s="136"/>
      <x:c r="U27" s="136"/>
      <x:c r="V27" s="136"/>
      <x:c r="W27" s="136"/>
      <x:c r="X27" s="136"/>
      <x:c r="Y27" s="136"/>
      <x:c r="Z27" s="136"/>
    </x:row>
    <x:row r="28">
      <x:c r="A28" s="178" t="n">
        <x:v>46054</x:v>
      </x:c>
      <x:c r="B28" s="169"/>
      <x:c r="C28" s="169"/>
      <x:c r="D28" s="169" t="n">
        <x:f>SUMIFS(Arrivals!$G$3:$G$1000,Arrivals!$A$3:$A$1000,"&gt;="&amp;A28,Arrivals!$A$3:$A$1000,"&lt;"&amp;EDATE(A28,1),Arrivals!$D$3:$D$1000,"Scheduled")+SUMIFS(Arrivals!$G$3:$G$1000,Arrivals!$A$3:$A$1000,"&gt;="&amp;A28,Arrivals!$A$3:$A$1000,"&lt;"&amp;EDATE(A28,1),Arrivals!$D$3:$D$1000,"Berthed / Discharging")+SUMIFS(Arrivals!$G$3:$G$1000,Arrivals!$A$3:$A$1000,"&gt;="&amp;A28,Arrivals!$A$3:$A$1000,"&lt;"&amp;EDATE(A28,1),Arrivals!$D$3:$D$1000,"Anchored / Awaiting berth")</x:f>
        <x:v>0</x:v>
      </x:c>
      <x:c r="E28" s="169"/>
      <x:c r="F28" s="169"/>
      <x:c r="G28" s="216" t="str">
        <x:v>Partial: Feb total-port context added</x:v>
      </x:c>
      <x:c r="H28" s="215" t="n">
        <x:v>555</x:v>
      </x:c>
      <x:c r="I28" s="179" t="str">
        <x:f>IF(A28&lt;DATE(2026,8,1),"",IF(C28&gt;0,IF(B28&gt;0,"Future + third-party coexisting","Third-party only"),IF(B28&gt;0,"Future only","No tracked arrivals")))</x:f>
      </x:c>
      <x:c r="J28" s="116" t="str">
        <x:v>555.0kt is total Aratu port cargo, all products; not naphtha-specific.</x:v>
      </x:c>
      <x:c r="K28" s="136"/>
      <x:c r="L28" s="136"/>
      <x:c r="M28" s="136"/>
      <x:c r="N28" s="136"/>
      <x:c r="O28" s="136"/>
      <x:c r="P28" s="136"/>
      <x:c r="Q28" s="136"/>
      <x:c r="R28" s="136"/>
      <x:c r="S28" s="136"/>
      <x:c r="T28" s="136"/>
      <x:c r="U28" s="136"/>
      <x:c r="V28" s="136"/>
      <x:c r="W28" s="136"/>
      <x:c r="X28" s="136"/>
      <x:c r="Y28" s="136"/>
      <x:c r="Z28" s="136"/>
    </x:row>
    <x:row r="29">
      <x:c r="A29" s="178" t="n">
        <x:v>46082</x:v>
      </x:c>
      <x:c r="B29" s="169"/>
      <x:c r="C29" s="169"/>
      <x:c r="D29" s="169" t="n">
        <x:f>SUMIFS(Arrivals!$G$3:$G$1000,Arrivals!$A$3:$A$1000,"&gt;="&amp;A29,Arrivals!$A$3:$A$1000,"&lt;"&amp;EDATE(A29,1),Arrivals!$D$3:$D$1000,"Scheduled")+SUMIFS(Arrivals!$G$3:$G$1000,Arrivals!$A$3:$A$1000,"&gt;="&amp;A29,Arrivals!$A$3:$A$1000,"&lt;"&amp;EDATE(A29,1),Arrivals!$D$3:$D$1000,"Berthed / Discharging")+SUMIFS(Arrivals!$G$3:$G$1000,Arrivals!$A$3:$A$1000,"&gt;="&amp;A29,Arrivals!$A$3:$A$1000,"&lt;"&amp;EDATE(A29,1),Arrivals!$D$3:$D$1000,"Anchored / Awaiting berth")</x:f>
        <x:v>0</x:v>
      </x:c>
      <x:c r="E29" s="169"/>
      <x:c r="F29" s="169"/>
      <x:c r="G29" s="216" t="str">
        <x:v>Partial: Mar total-port context added</x:v>
      </x:c>
      <x:c r="H29" s="215" t="n">
        <x:v>681.65</x:v>
      </x:c>
      <x:c r="I29" s="179" t="str">
        <x:f>IF(A29&lt;DATE(2026,8,1),"",IF(C29&gt;0,IF(B29&gt;0,"Future + third-party coexisting","Third-party only"),IF(B29&gt;0,"Future only","No tracked arrivals")))</x:f>
      </x:c>
      <x:c r="J29" s="116" t="str">
        <x:v>681.65kt is total Aratu port cargo, all products; not naphtha-specific.</x:v>
      </x:c>
      <x:c r="K29" s="136"/>
      <x:c r="L29" s="136"/>
      <x:c r="M29" s="136"/>
      <x:c r="N29" s="136"/>
      <x:c r="O29" s="136"/>
      <x:c r="P29" s="136"/>
      <x:c r="Q29" s="136"/>
      <x:c r="R29" s="136"/>
      <x:c r="S29" s="136"/>
      <x:c r="T29" s="136"/>
      <x:c r="U29" s="136"/>
      <x:c r="V29" s="136"/>
      <x:c r="W29" s="136"/>
      <x:c r="X29" s="136"/>
      <x:c r="Y29" s="136"/>
      <x:c r="Z29" s="136"/>
    </x:row>
    <x:row r="30">
      <x:c r="A30" s="178" t="n">
        <x:v>46113</x:v>
      </x:c>
      <x:c r="B30" s="169"/>
      <x:c r="C30" s="169"/>
      <x:c r="D30" s="169" t="n">
        <x:f>SUMIFS(Arrivals!$G$3:$G$1000,Arrivals!$A$3:$A$1000,"&gt;="&amp;A30,Arrivals!$A$3:$A$1000,"&lt;"&amp;EDATE(A30,1),Arrivals!$D$3:$D$1000,"Scheduled")+SUMIFS(Arrivals!$G$3:$G$1000,Arrivals!$A$3:$A$1000,"&gt;="&amp;A30,Arrivals!$A$3:$A$1000,"&lt;"&amp;EDATE(A30,1),Arrivals!$D$3:$D$1000,"Berthed / Discharging")+SUMIFS(Arrivals!$G$3:$G$1000,Arrivals!$A$3:$A$1000,"&gt;="&amp;A30,Arrivals!$A$3:$A$1000,"&lt;"&amp;EDATE(A30,1),Arrivals!$D$3:$D$1000,"Anchored / Awaiting berth")</x:f>
        <x:v>0</x:v>
      </x:c>
      <x:c r="E30" s="169"/>
      <x:c r="F30" s="169"/>
      <x:c r="G30" s="216" t="str">
        <x:v>2026 backfill: vessel-level history not recovered</x:v>
      </x:c>
      <x:c r="H30" s="215"/>
      <x:c r="I30" s="179" t="str">
        <x:f>IF(A30&lt;DATE(2026,8,1),"",IF(C30&gt;0,IF(B30&gt;0,"Future + third-party coexisting","Third-party only"),IF(B30&gt;0,"Future only","No tracked arrivals")))</x:f>
      </x:c>
      <x:c r="J30" s="116" t="str">
        <x:v>Vessel-level Braskem naphtha fields intentionally blank, not zero.</x:v>
      </x:c>
      <x:c r="K30" s="136"/>
      <x:c r="L30" s="136"/>
      <x:c r="M30" s="136"/>
      <x:c r="N30" s="136"/>
      <x:c r="O30" s="136"/>
      <x:c r="P30" s="136"/>
      <x:c r="Q30" s="136"/>
      <x:c r="R30" s="136"/>
      <x:c r="S30" s="136"/>
      <x:c r="T30" s="136"/>
      <x:c r="U30" s="136"/>
      <x:c r="V30" s="136"/>
      <x:c r="W30" s="136"/>
      <x:c r="X30" s="136"/>
      <x:c r="Y30" s="136"/>
      <x:c r="Z30" s="136"/>
    </x:row>
    <x:row r="31">
      <x:c r="A31" s="178" t="n">
        <x:v>46143</x:v>
      </x:c>
      <x:c r="B31" s="169"/>
      <x:c r="C31" s="169"/>
      <x:c r="D31" s="169" t="n">
        <x:f>SUMIFS(Arrivals!$G$3:$G$1000,Arrivals!$A$3:$A$1000,"&gt;="&amp;A31,Arrivals!$A$3:$A$1000,"&lt;"&amp;EDATE(A31,1),Arrivals!$D$3:$D$1000,"Scheduled")+SUMIFS(Arrivals!$G$3:$G$1000,Arrivals!$A$3:$A$1000,"&gt;="&amp;A31,Arrivals!$A$3:$A$1000,"&lt;"&amp;EDATE(A31,1),Arrivals!$D$3:$D$1000,"Berthed / Discharging")+SUMIFS(Arrivals!$G$3:$G$1000,Arrivals!$A$3:$A$1000,"&gt;="&amp;A31,Arrivals!$A$3:$A$1000,"&lt;"&amp;EDATE(A31,1),Arrivals!$D$3:$D$1000,"Anchored / Awaiting berth")</x:f>
        <x:v>0</x:v>
      </x:c>
      <x:c r="E31" s="169"/>
      <x:c r="F31" s="169"/>
      <x:c r="G31" s="216" t="str">
        <x:v>Partial: Jan–May cumulative port context in 2026 Backfill tab</x:v>
      </x:c>
      <x:c r="H31" s="215"/>
      <x:c r="I31" s="179" t="str">
        <x:f>IF(A31&lt;DATE(2026,8,1),"",IF(C31&gt;0,IF(B31&gt;0,"Future + third-party coexisting","Third-party only"),IF(B31&gt;0,"Future only","No tracked arrivals")))</x:f>
      </x:c>
      <x:c r="J31" s="116" t="str">
        <x:v>See 2026 Backfill tab for Jan–May cumulative official port context.</x:v>
      </x:c>
      <x:c r="K31" s="136"/>
      <x:c r="L31" s="136"/>
      <x:c r="M31" s="136"/>
      <x:c r="N31" s="136"/>
      <x:c r="O31" s="136"/>
      <x:c r="P31" s="136"/>
      <x:c r="Q31" s="136"/>
      <x:c r="R31" s="136"/>
      <x:c r="S31" s="136"/>
      <x:c r="T31" s="136"/>
      <x:c r="U31" s="136"/>
      <x:c r="V31" s="136"/>
      <x:c r="W31" s="136"/>
      <x:c r="X31" s="136"/>
      <x:c r="Y31" s="136"/>
      <x:c r="Z31" s="136"/>
    </x:row>
    <x:row r="32">
      <x:c r="A32" s="178" t="n">
        <x:v>46174</x:v>
      </x:c>
      <x:c r="B32" s="169"/>
      <x:c r="C32" s="169"/>
      <x:c r="D32" s="169" t="n">
        <x:f>SUMIFS(Arrivals!$G$3:$G$1000,Arrivals!$A$3:$A$1000,"&gt;="&amp;A32,Arrivals!$A$3:$A$1000,"&lt;"&amp;EDATE(A32,1),Arrivals!$D$3:$D$1000,"Scheduled")+SUMIFS(Arrivals!$G$3:$G$1000,Arrivals!$A$3:$A$1000,"&gt;="&amp;A32,Arrivals!$A$3:$A$1000,"&lt;"&amp;EDATE(A32,1),Arrivals!$D$3:$D$1000,"Berthed / Discharging")+SUMIFS(Arrivals!$G$3:$G$1000,Arrivals!$A$3:$A$1000,"&gt;="&amp;A32,Arrivals!$A$3:$A$1000,"&lt;"&amp;EDATE(A32,1),Arrivals!$D$3:$D$1000,"Anchored / Awaiting berth")</x:f>
        <x:v>0</x:v>
      </x:c>
      <x:c r="E32" s="169"/>
      <x:c r="F32" s="169"/>
      <x:c r="G32" s="216" t="str">
        <x:v>Partial: Jun total-port context added</x:v>
      </x:c>
      <x:c r="H32" s="215" t="n">
        <x:v>692.2</x:v>
      </x:c>
      <x:c r="I32" s="179" t="str">
        <x:f>IF(A32&lt;DATE(2026,8,1),"",IF(C32&gt;0,IF(B32&gt;0,"Future + third-party coexisting","Third-party only"),IF(B32&gt;0,"Future only","No tracked arrivals")))</x:f>
      </x:c>
      <x:c r="J32" s="116" t="str">
        <x:v>692.2kt is total Aratu port cargo, all products; not naphtha-specific.</x:v>
      </x:c>
      <x:c r="K32" s="136"/>
      <x:c r="L32" s="136"/>
      <x:c r="M32" s="136"/>
      <x:c r="N32" s="136"/>
      <x:c r="O32" s="136"/>
      <x:c r="P32" s="136"/>
      <x:c r="Q32" s="136"/>
      <x:c r="R32" s="136"/>
      <x:c r="S32" s="136"/>
      <x:c r="T32" s="136"/>
      <x:c r="U32" s="136"/>
      <x:c r="V32" s="136"/>
      <x:c r="W32" s="136"/>
      <x:c r="X32" s="136"/>
      <x:c r="Y32" s="136"/>
      <x:c r="Z32" s="136"/>
    </x:row>
    <x:row r="33">
      <x:c r="A33" s="178" t="n">
        <x:v>46204</x:v>
      </x:c>
      <x:c r="B33" s="169"/>
      <x:c r="C33" s="169"/>
      <x:c r="D33" s="169" t="n">
        <x:f>SUMIFS(Arrivals!$G$3:$G$1000,Arrivals!$A$3:$A$1000,"&gt;="&amp;A33,Arrivals!$A$3:$A$1000,"&lt;"&amp;EDATE(A33,1),Arrivals!$D$3:$D$1000,"Scheduled")+SUMIFS(Arrivals!$G$3:$G$1000,Arrivals!$A$3:$A$1000,"&gt;="&amp;A33,Arrivals!$A$3:$A$1000,"&lt;"&amp;EDATE(A33,1),Arrivals!$D$3:$D$1000,"Berthed / Discharging")+SUMIFS(Arrivals!$G$3:$G$1000,Arrivals!$A$3:$A$1000,"&gt;="&amp;A33,Arrivals!$A$3:$A$1000,"&lt;"&amp;EDATE(A33,1),Arrivals!$D$3:$D$1000,"Anchored / Awaiting berth")</x:f>
        <x:v>0</x:v>
      </x:c>
      <x:c r="E33" s="169"/>
      <x:c r="F33" s="169"/>
      <x:c r="G33" s="216" t="str">
        <x:v>2026 backfill: vessel-level history not recovered</x:v>
      </x:c>
      <x:c r="H33" s="215"/>
      <x:c r="I33" s="179" t="str">
        <x:f>IF(A33&lt;DATE(2026,8,1),"",IF(C33&gt;0,IF(B33&gt;0,"Future + third-party coexisting","Third-party only"),IF(B33&gt;0,"Future only","No tracked arrivals")))</x:f>
      </x:c>
      <x:c r="J33" s="116" t="str">
        <x:v>Vessel-level Braskem naphtha fields intentionally blank, not zero.</x:v>
      </x:c>
      <x:c r="K33" s="136"/>
      <x:c r="L33" s="136"/>
      <x:c r="M33" s="136"/>
      <x:c r="N33" s="136"/>
      <x:c r="O33" s="136"/>
      <x:c r="P33" s="136"/>
      <x:c r="Q33" s="136"/>
      <x:c r="R33" s="136"/>
      <x:c r="S33" s="136"/>
      <x:c r="T33" s="136"/>
      <x:c r="U33" s="136"/>
      <x:c r="V33" s="136"/>
      <x:c r="W33" s="136"/>
      <x:c r="X33" s="136"/>
      <x:c r="Y33" s="136"/>
      <x:c r="Z33" s="136"/>
    </x:row>
    <x:row r="34">
      <x:c r="A34" s="178" t="n">
        <x:v>46235</x:v>
      </x:c>
      <x:c r="B34" s="215" t="n">
        <x:v>55.245144</x:v>
      </x:c>
      <x:c r="C34" s="215" t="n">
        <x:v>148.810109</x:v>
      </x:c>
      <x:c r="D34" s="215" t="n">
        <x:f>SUMIFS(Arrivals!$G$3:$G$1000,Arrivals!$A$3:$A$1000,"&gt;="&amp;A34,Arrivals!$A$3:$A$1000,"&lt;"&amp;EDATE(A34,1),Arrivals!$D$3:$D$1000,"Scheduled")+SUMIFS(Arrivals!$G$3:$G$1000,Arrivals!$A$3:$A$1000,"&gt;="&amp;A34,Arrivals!$A$3:$A$1000,"&lt;"&amp;EDATE(A34,1),Arrivals!$D$3:$D$1000,"Berthed / Discharging")+SUMIFS(Arrivals!$G$3:$G$1000,Arrivals!$A$3:$A$1000,"&gt;="&amp;A34,Arrivals!$A$3:$A$1000,"&lt;"&amp;EDATE(A34,1),Arrivals!$D$3:$D$1000,"Anchored / Awaiting berth")</x:f>
        <x:v>0</x:v>
      </x:c>
      <x:c r="E34" s="215" t="n">
        <x:v>267.424552</x:v>
      </x:c>
      <x:c r="F34" s="215" t="n">
        <x:v>267.424552</x:v>
      </x:c>
      <x:c r="G34" s="179" t="str">
        <x:v>Verified Aratu vessel-level capture</x:v>
      </x:c>
      <x:c r="H34" s="169"/>
      <x:c r="I34" s="179" t="str">
        <x:f>IF(A34&lt;DATE(2026,8,1),"",IF(C34&gt;0,IF(B34&gt;0,"Future + third-party coexisting","Third-party only"),IF(B34&gt;0,"Future only","No tracked arrivals")))</x:f>
        <x:v>Future + third-party coexisting</x:v>
      </x:c>
      <x:c r="J34" s="179" t="str">
        <x:v>Completed + near-forward CODEBA vessel records; exact August rows in Arrivals tab.</x:v>
      </x:c>
      <x:c r="K34" s="136"/>
      <x:c r="L34" s="136"/>
      <x:c r="M34" s="136"/>
      <x:c r="N34" s="136"/>
      <x:c r="O34" s="136"/>
      <x:c r="P34" s="136"/>
      <x:c r="Q34" s="136"/>
      <x:c r="R34" s="136"/>
      <x:c r="S34" s="136"/>
      <x:c r="T34" s="136"/>
      <x:c r="U34" s="136"/>
      <x:c r="V34" s="136"/>
      <x:c r="W34" s="136"/>
      <x:c r="X34" s="136"/>
      <x:c r="Y34" s="136"/>
      <x:c r="Z34" s="136"/>
    </x:row>
    <x:row r="35">
      <x:c r="A35" s="178" t="n">
        <x:v>46266</x:v>
      </x:c>
      <x:c r="B35" s="169" t="n">
        <x:f>SUMIFS(Arrivals!$G$3:$G$1000,Arrivals!$A$3:$A$1000,"&gt;="&amp;A35,Arrivals!$A$3:$A$1000,"&lt;"&amp;DATE(YEAR(A35),MONTH(A35)+1,1),Arrivals!$D$3:$D$1000,"Completed",Arrivals!$J$3:$J$1000,"Future LR1")</x:f>
        <x:v>0</x:v>
      </x:c>
      <x:c r="C35" s="169" t="n">
        <x:f>SUMIFS(Arrivals!$G$3:$G$1000,Arrivals!$A$3:$A$1000,"&gt;="&amp;A35,Arrivals!$A$3:$A$1000,"&lt;"&amp;DATE(YEAR(A35),MONTH(A35)+1,1),Arrivals!$D$3:$D$1000,"Completed",Arrivals!$J$3:$J$1000,"Third-party")</x:f>
        <x:v>0</x:v>
      </x:c>
      <x:c r="D35" s="169" t="n">
        <x:f>SUMIFS(Arrivals!$G$3:$G$1000,Arrivals!$A$3:$A$1000,"&gt;="&amp;A35,Arrivals!$A$3:$A$1000,"&lt;"&amp;EDATE(A35,1),Arrivals!$D$3:$D$1000,"Scheduled")+SUMIFS(Arrivals!$G$3:$G$1000,Arrivals!$A$3:$A$1000,"&gt;="&amp;A35,Arrivals!$A$3:$A$1000,"&lt;"&amp;EDATE(A35,1),Arrivals!$D$3:$D$1000,"Berthed / Discharging")+SUMIFS(Arrivals!$G$3:$G$1000,Arrivals!$A$3:$A$1000,"&gt;="&amp;A35,Arrivals!$A$3:$A$1000,"&lt;"&amp;EDATE(A35,1),Arrivals!$D$3:$D$1000,"Anchored / Awaiting berth")</x:f>
        <x:v>0</x:v>
      </x:c>
      <x:c r="E35" s="169" t="n">
        <x:f>SUM(B35:D35)</x:f>
        <x:v>0</x:v>
      </x:c>
      <x:c r="F35" s="169" t="n">
        <x:f>SUM(E33:E35)</x:f>
        <x:v>267.424552</x:v>
      </x:c>
      <x:c r="G35" s="179" t="str">
        <x:v>Partial September capture; not full monthly arrivals</x:v>
      </x:c>
      <x:c r="H35" s="169"/>
      <x:c r="I35" s="179" t="str">
        <x:f>IF(A35&lt;DATE(2026,8,1),"",IF(C35&gt;0,IF(B35&gt;0,"Future + third-party coexisting","Third-party only"),IF(B35&gt;0,"Future only","No tracked arrivals")))</x:f>
        <x:v>No tracked arrivals</x:v>
      </x:c>
      <x:c r="J35" s="179" t="str">
        <x:v>Beautiful Future live 28kt. Earlier Sep calls unresolved; excluded from live totals.</x:v>
      </x:c>
      <x:c r="K35" s="136"/>
      <x:c r="L35" s="136"/>
      <x:c r="M35" s="136"/>
      <x:c r="N35" s="136"/>
      <x:c r="O35" s="136"/>
      <x:c r="P35" s="136"/>
      <x:c r="Q35" s="136"/>
      <x:c r="R35" s="136"/>
      <x:c r="S35" s="136"/>
      <x:c r="T35" s="136"/>
      <x:c r="U35" s="136"/>
      <x:c r="V35" s="136"/>
      <x:c r="W35" s="136"/>
      <x:c r="X35" s="136"/>
      <x:c r="Y35" s="136"/>
      <x:c r="Z35" s="136"/>
    </x:row>
    <x:row r="36">
      <x:c r="A36" s="178" t="n">
        <x:v>46296</x:v>
      </x:c>
      <x:c r="B36" s="169" t="n">
        <x:f>SUMIFS(Arrivals!$G$3:$G$1000,Arrivals!$A$3:$A$1000,"&gt;="&amp;A36,Arrivals!$A$3:$A$1000,"&lt;"&amp;DATE(YEAR(A36),MONTH(A36)+1,1),Arrivals!$D$3:$D$1000,"Completed",Arrivals!$J$3:$J$1000,"Future LR1")</x:f>
        <x:v>0</x:v>
      </x:c>
      <x:c r="C36" s="169" t="n">
        <x:f>SUMIFS(Arrivals!$G$3:$G$1000,Arrivals!$A$3:$A$1000,"&gt;="&amp;A36,Arrivals!$A$3:$A$1000,"&lt;"&amp;DATE(YEAR(A36),MONTH(A36)+1,1),Arrivals!$D$3:$D$1000,"Completed",Arrivals!$J$3:$J$1000,"Third-party")</x:f>
        <x:v>0</x:v>
      </x:c>
      <x:c r="D36" s="169" t="n">
        <x:f>SUMIFS(Arrivals!$G$3:$G$1000,Arrivals!$A$3:$A$1000,"&gt;="&amp;A36,Arrivals!$A$3:$A$1000,"&lt;"&amp;EDATE(A36,1),Arrivals!$D$3:$D$1000,"Scheduled")+SUMIFS(Arrivals!$G$3:$G$1000,Arrivals!$A$3:$A$1000,"&gt;="&amp;A36,Arrivals!$A$3:$A$1000,"&lt;"&amp;EDATE(A36,1),Arrivals!$D$3:$D$1000,"Berthed / Discharging")+SUMIFS(Arrivals!$G$3:$G$1000,Arrivals!$A$3:$A$1000,"&gt;="&amp;A36,Arrivals!$A$3:$A$1000,"&lt;"&amp;EDATE(A36,1),Arrivals!$D$3:$D$1000,"Anchored / Awaiting berth")</x:f>
        <x:v>123.71476</x:v>
      </x:c>
      <x:c r="E36" s="169" t="n">
        <x:f>SUM(B36:D36)</x:f>
        <x:v>123.71476000000001</x:v>
      </x:c>
      <x:c r="F36" s="169" t="n">
        <x:f>SUM(E34:E36)</x:f>
        <x:v>391.139312</x:v>
      </x:c>
      <x:c r="G36" s="179" t="str">
        <x:v>October current schedule</x:v>
      </x:c>
      <x:c r="H36" s="169"/>
      <x:c r="I36" s="179" t="str">
        <x:f>IF(A36&lt;DATE(2026,8,1),"",IF(C36&gt;0,IF(B36&gt;0,"Future + third-party coexisting","Third-party only"),IF(B36&gt;0,"Future only","No tracked arrivals")))</x:f>
        <x:v>No tracked arrivals</x:v>
      </x:c>
      <x:c r="J36" s="179" t="str">
        <x:v>63kt known plus Pine Olia / Baiacu quantity TBD.</x:v>
      </x:c>
      <x:c r="K36" s="136"/>
      <x:c r="L36" s="136"/>
      <x:c r="M36" s="136"/>
      <x:c r="N36" s="136"/>
      <x:c r="O36" s="136"/>
      <x:c r="P36" s="136"/>
      <x:c r="Q36" s="136"/>
      <x:c r="R36" s="136"/>
      <x:c r="S36" s="136"/>
      <x:c r="T36" s="136"/>
      <x:c r="U36" s="136"/>
      <x:c r="V36" s="136"/>
      <x:c r="W36" s="136"/>
      <x:c r="X36" s="136"/>
      <x:c r="Y36" s="136"/>
      <x:c r="Z36" s="136"/>
    </x:row>
    <x:row r="37">
      <x:c r="A37" s="178" t="n">
        <x:v>46327</x:v>
      </x:c>
      <x:c r="B37" s="169" t="n">
        <x:f>SUMIFS(Arrivals!$G$3:$G$1000,Arrivals!$A$3:$A$1000,"&gt;="&amp;A37,Arrivals!$A$3:$A$1000,"&lt;"&amp;DATE(YEAR(A37),MONTH(A37)+1,1),Arrivals!$D$3:$D$1000,"Completed",Arrivals!$J$3:$J$1000,"Future LR1")</x:f>
        <x:v>0</x:v>
      </x:c>
      <x:c r="C37" s="169" t="n">
        <x:f>SUMIFS(Arrivals!$G$3:$G$1000,Arrivals!$A$3:$A$1000,"&gt;="&amp;A37,Arrivals!$A$3:$A$1000,"&lt;"&amp;DATE(YEAR(A37),MONTH(A37)+1,1),Arrivals!$D$3:$D$1000,"Completed",Arrivals!$J$3:$J$1000,"Third-party")</x:f>
        <x:v>0</x:v>
      </x:c>
      <x:c r="D37" s="169" t="n">
        <x:f>SUMIFS(Arrivals!$G$3:$G$1000,Arrivals!$A$3:$A$1000,"&gt;="&amp;A37,Arrivals!$A$3:$A$1000,"&lt;"&amp;EDATE(A37,1),Arrivals!$D$3:$D$1000,"Scheduled")+SUMIFS(Arrivals!$G$3:$G$1000,Arrivals!$A$3:$A$1000,"&gt;="&amp;A37,Arrivals!$A$3:$A$1000,"&lt;"&amp;EDATE(A37,1),Arrivals!$D$3:$D$1000,"Berthed / Discharging")+SUMIFS(Arrivals!$G$3:$G$1000,Arrivals!$A$3:$A$1000,"&gt;="&amp;A37,Arrivals!$A$3:$A$1000,"&lt;"&amp;EDATE(A37,1),Arrivals!$D$3:$D$1000,"Anchored / Awaiting berth")</x:f>
        <x:v>0</x:v>
      </x:c>
      <x:c r="E37" s="169" t="n">
        <x:f>SUM(B37:D37)</x:f>
        <x:v>0</x:v>
      </x:c>
      <x:c r="F37" s="169" t="n">
        <x:f>SUM(E35:E37)</x:f>
        <x:v>123.71476000000001</x:v>
      </x:c>
      <x:c r="G37" s="179" t="str">
        <x:f>IF(A37&lt;DATE(2026,8,1),"Historical vessel list not backfilled",IF(A37=DATE(2026,8,1),"Live Aratu capture","Forward / update pending"))</x:f>
        <x:v>Forward / update pending</x:v>
      </x:c>
      <x:c r="H37" s="169"/>
      <x:c r="I37" s="179" t="str">
        <x:f>IF(A37&lt;DATE(2026,8,1),"",IF(C37&gt;0,IF(B37&gt;0,"Future + third-party coexisting","Third-party only"),IF(B37&gt;0,"Future only","No tracked arrivals")))</x:f>
        <x:v>No tracked arrivals</x:v>
      </x:c>
      <x:c r="J37" s="179" t="str">
        <x:f>IF(A37=DATE(2026,8,1),"Completed + near-forward CODEBA data in Arrivals tab; ANP historical monthly backfill pending.","")</x:f>
      </x:c>
      <x:c r="K37" s="136"/>
      <x:c r="L37" s="136"/>
      <x:c r="M37" s="136"/>
      <x:c r="N37" s="136"/>
      <x:c r="O37" s="136"/>
      <x:c r="P37" s="136"/>
      <x:c r="Q37" s="136"/>
      <x:c r="R37" s="136"/>
      <x:c r="S37" s="136"/>
      <x:c r="T37" s="136"/>
      <x:c r="U37" s="136"/>
      <x:c r="V37" s="136"/>
      <x:c r="W37" s="136"/>
      <x:c r="X37" s="136"/>
      <x:c r="Y37" s="136"/>
      <x:c r="Z37" s="136"/>
    </x:row>
    <x:row r="38">
      <x:c r="A38" s="178" t="n">
        <x:v>46357</x:v>
      </x:c>
      <x:c r="B38" s="169" t="n">
        <x:f>SUMIFS(Arrivals!$G$3:$G$1000,Arrivals!$A$3:$A$1000,"&gt;="&amp;A38,Arrivals!$A$3:$A$1000,"&lt;"&amp;DATE(YEAR(A38),MONTH(A38)+1,1),Arrivals!$D$3:$D$1000,"Completed",Arrivals!$J$3:$J$1000,"Future LR1")</x:f>
        <x:v>0</x:v>
      </x:c>
      <x:c r="C38" s="169" t="n">
        <x:f>SUMIFS(Arrivals!$G$3:$G$1000,Arrivals!$A$3:$A$1000,"&gt;="&amp;A38,Arrivals!$A$3:$A$1000,"&lt;"&amp;DATE(YEAR(A38),MONTH(A38)+1,1),Arrivals!$D$3:$D$1000,"Completed",Arrivals!$J$3:$J$1000,"Third-party")</x:f>
        <x:v>0</x:v>
      </x:c>
      <x:c r="D38" s="169" t="n">
        <x:f>SUMIFS(Arrivals!$G$3:$G$1000,Arrivals!$A$3:$A$1000,"&gt;="&amp;A38,Arrivals!$A$3:$A$1000,"&lt;"&amp;EDATE(A38,1),Arrivals!$D$3:$D$1000,"Scheduled")+SUMIFS(Arrivals!$G$3:$G$1000,Arrivals!$A$3:$A$1000,"&gt;="&amp;A38,Arrivals!$A$3:$A$1000,"&lt;"&amp;EDATE(A38,1),Arrivals!$D$3:$D$1000,"Berthed / Discharging")+SUMIFS(Arrivals!$G$3:$G$1000,Arrivals!$A$3:$A$1000,"&gt;="&amp;A38,Arrivals!$A$3:$A$1000,"&lt;"&amp;EDATE(A38,1),Arrivals!$D$3:$D$1000,"Anchored / Awaiting berth")</x:f>
        <x:v>0</x:v>
      </x:c>
      <x:c r="E38" s="169" t="n">
        <x:f>SUM(B38:D38)</x:f>
        <x:v>0</x:v>
      </x:c>
      <x:c r="F38" s="169" t="n">
        <x:f>SUM(E36:E38)</x:f>
        <x:v>123.71476000000001</x:v>
      </x:c>
      <x:c r="G38" s="179" t="str">
        <x:f>IF(A38&lt;DATE(2026,8,1),"Historical vessel list not backfilled",IF(A38=DATE(2026,8,1),"Live Aratu capture","Forward / update pending"))</x:f>
        <x:v>Forward / update pending</x:v>
      </x:c>
      <x:c r="H38" s="169"/>
      <x:c r="I38" s="179" t="str">
        <x:f>IF(A38&lt;DATE(2026,8,1),"",IF(C38&gt;0,IF(B38&gt;0,"Future + third-party coexisting","Third-party only"),IF(B38&gt;0,"Future only","No tracked arrivals")))</x:f>
        <x:v>No tracked arrivals</x:v>
      </x:c>
      <x:c r="J38" s="179" t="str">
        <x:f>IF(A38=DATE(2026,8,1),"Completed + near-forward CODEBA data in Arrivals tab; ANP historical monthly backfill pending.","")</x:f>
      </x:c>
      <x:c r="K38" s="136"/>
      <x:c r="L38" s="136"/>
      <x:c r="M38" s="136"/>
      <x:c r="N38" s="136"/>
      <x:c r="O38" s="136"/>
      <x:c r="P38" s="136"/>
      <x:c r="Q38" s="136"/>
      <x:c r="R38" s="136"/>
      <x:c r="S38" s="136"/>
      <x:c r="T38" s="136"/>
      <x:c r="U38" s="136"/>
      <x:c r="V38" s="136"/>
      <x:c r="W38" s="136"/>
      <x:c r="X38" s="136"/>
      <x:c r="Y38" s="136"/>
      <x:c r="Z38" s="136"/>
    </x:row>
    <x:row r="39">
      <x:c r="A39" s="178" t="n">
        <x:v>46388</x:v>
      </x:c>
      <x:c r="B39" s="169" t="n">
        <x:f>SUMIFS(Arrivals!$G$3:$G$1000,Arrivals!$A$3:$A$1000,"&gt;="&amp;A39,Arrivals!$A$3:$A$1000,"&lt;"&amp;DATE(YEAR(A39),MONTH(A39)+1,1),Arrivals!$D$3:$D$1000,"Completed",Arrivals!$J$3:$J$1000,"Future LR1")</x:f>
        <x:v>0</x:v>
      </x:c>
      <x:c r="C39" s="169" t="n">
        <x:f>SUMIFS(Arrivals!$G$3:$G$1000,Arrivals!$A$3:$A$1000,"&gt;="&amp;A39,Arrivals!$A$3:$A$1000,"&lt;"&amp;DATE(YEAR(A39),MONTH(A39)+1,1),Arrivals!$D$3:$D$1000,"Completed",Arrivals!$J$3:$J$1000,"Third-party")</x:f>
        <x:v>0</x:v>
      </x:c>
      <x:c r="D39" s="169" t="n">
        <x:f>SUMIFS(Arrivals!$G$3:$G$1000,Arrivals!$A$3:$A$1000,"&gt;="&amp;A39,Arrivals!$A$3:$A$1000,"&lt;"&amp;EDATE(A39,1),Arrivals!$D$3:$D$1000,"Scheduled")+SUMIFS(Arrivals!$G$3:$G$1000,Arrivals!$A$3:$A$1000,"&gt;="&amp;A39,Arrivals!$A$3:$A$1000,"&lt;"&amp;EDATE(A39,1),Arrivals!$D$3:$D$1000,"Berthed / Discharging")+SUMIFS(Arrivals!$G$3:$G$1000,Arrivals!$A$3:$A$1000,"&gt;="&amp;A39,Arrivals!$A$3:$A$1000,"&lt;"&amp;EDATE(A39,1),Arrivals!$D$3:$D$1000,"Anchored / Awaiting berth")</x:f>
        <x:v>0</x:v>
      </x:c>
      <x:c r="E39" s="169" t="n">
        <x:f>SUM(B39:D39)</x:f>
        <x:v>0</x:v>
      </x:c>
      <x:c r="F39" s="169" t="n">
        <x:f>SUM(E37:E39)</x:f>
        <x:v>0</x:v>
      </x:c>
      <x:c r="G39" s="179" t="str">
        <x:f>IF(A39&lt;DATE(2026,8,1),"Historical vessel list not backfilled",IF(A39=DATE(2026,8,1),"Live Aratu capture","Forward / update pending"))</x:f>
        <x:v>Forward / update pending</x:v>
      </x:c>
      <x:c r="H39" s="169"/>
      <x:c r="I39" s="179" t="str">
        <x:f>IF(A39&lt;DATE(2026,8,1),"",IF(C39&gt;0,IF(B39&gt;0,"Future + third-party coexisting","Third-party only"),IF(B39&gt;0,"Future only","No tracked arrivals")))</x:f>
        <x:v>No tracked arrivals</x:v>
      </x:c>
      <x:c r="J39" s="179" t="str">
        <x:f>IF(A39=DATE(2026,8,1),"Completed + near-forward CODEBA data in Arrivals tab; ANP historical monthly backfill pending.","")</x:f>
      </x:c>
      <x:c r="K39" s="136"/>
      <x:c r="L39" s="136"/>
      <x:c r="M39" s="136"/>
      <x:c r="N39" s="136"/>
      <x:c r="O39" s="136"/>
      <x:c r="P39" s="136"/>
      <x:c r="Q39" s="136"/>
      <x:c r="R39" s="136"/>
      <x:c r="S39" s="136"/>
      <x:c r="T39" s="136"/>
      <x:c r="U39" s="136"/>
      <x:c r="V39" s="136"/>
      <x:c r="W39" s="136"/>
      <x:c r="X39" s="136"/>
      <x:c r="Y39" s="136"/>
      <x:c r="Z39" s="136"/>
    </x:row>
    <x:row r="40">
      <x:c r="A40" s="178" t="n">
        <x:v>46419</x:v>
      </x:c>
      <x:c r="B40" s="169" t="n">
        <x:f>SUMIFS(Arrivals!$G$3:$G$1000,Arrivals!$A$3:$A$1000,"&gt;="&amp;A40,Arrivals!$A$3:$A$1000,"&lt;"&amp;DATE(YEAR(A40),MONTH(A40)+1,1),Arrivals!$D$3:$D$1000,"Completed",Arrivals!$J$3:$J$1000,"Future LR1")</x:f>
        <x:v>0</x:v>
      </x:c>
      <x:c r="C40" s="169" t="n">
        <x:f>SUMIFS(Arrivals!$G$3:$G$1000,Arrivals!$A$3:$A$1000,"&gt;="&amp;A40,Arrivals!$A$3:$A$1000,"&lt;"&amp;DATE(YEAR(A40),MONTH(A40)+1,1),Arrivals!$D$3:$D$1000,"Completed",Arrivals!$J$3:$J$1000,"Third-party")</x:f>
        <x:v>0</x:v>
      </x:c>
      <x:c r="D40" s="169" t="n">
        <x:f>SUMIFS(Arrivals!$G$3:$G$1000,Arrivals!$A$3:$A$1000,"&gt;="&amp;A40,Arrivals!$A$3:$A$1000,"&lt;"&amp;EDATE(A40,1),Arrivals!$D$3:$D$1000,"Scheduled")+SUMIFS(Arrivals!$G$3:$G$1000,Arrivals!$A$3:$A$1000,"&gt;="&amp;A40,Arrivals!$A$3:$A$1000,"&lt;"&amp;EDATE(A40,1),Arrivals!$D$3:$D$1000,"Berthed / Discharging")+SUMIFS(Arrivals!$G$3:$G$1000,Arrivals!$A$3:$A$1000,"&gt;="&amp;A40,Arrivals!$A$3:$A$1000,"&lt;"&amp;EDATE(A40,1),Arrivals!$D$3:$D$1000,"Anchored / Awaiting berth")</x:f>
        <x:v>0</x:v>
      </x:c>
      <x:c r="E40" s="169" t="n">
        <x:f>SUM(B40:D40)</x:f>
        <x:v>0</x:v>
      </x:c>
      <x:c r="F40" s="169" t="n">
        <x:f>SUM(E38:E40)</x:f>
        <x:v>0</x:v>
      </x:c>
      <x:c r="G40" s="179" t="str">
        <x:f>IF(A40&lt;DATE(2026,8,1),"Historical vessel list not backfilled",IF(A40=DATE(2026,8,1),"Live Aratu capture","Forward / update pending"))</x:f>
        <x:v>Forward / update pending</x:v>
      </x:c>
      <x:c r="H40" s="169"/>
      <x:c r="I40" s="179" t="str">
        <x:f>IF(A40&lt;DATE(2026,8,1),"",IF(C40&gt;0,IF(B40&gt;0,"Future + third-party coexisting","Third-party only"),IF(B40&gt;0,"Future only","No tracked arrivals")))</x:f>
        <x:v>No tracked arrivals</x:v>
      </x:c>
      <x:c r="J40" s="179" t="str">
        <x:f>IF(A40=DATE(2026,8,1),"Completed + near-forward CODEBA data in Arrivals tab; ANP historical monthly backfill pending.","")</x:f>
      </x:c>
      <x:c r="K40" s="136"/>
      <x:c r="L40" s="136"/>
      <x:c r="M40" s="136"/>
      <x:c r="N40" s="136"/>
      <x:c r="O40" s="136"/>
      <x:c r="P40" s="136"/>
      <x:c r="Q40" s="136"/>
      <x:c r="R40" s="136"/>
      <x:c r="S40" s="136"/>
      <x:c r="T40" s="136"/>
      <x:c r="U40" s="136"/>
      <x:c r="V40" s="136"/>
      <x:c r="W40" s="136"/>
      <x:c r="X40" s="136"/>
      <x:c r="Y40" s="136"/>
      <x:c r="Z40" s="136"/>
    </x:row>
    <x:row r="41">
      <x:c r="A41" s="178" t="n">
        <x:v>46447</x:v>
      </x:c>
      <x:c r="B41" s="169" t="n">
        <x:f>SUMIFS(Arrivals!$G$3:$G$1000,Arrivals!$A$3:$A$1000,"&gt;="&amp;A41,Arrivals!$A$3:$A$1000,"&lt;"&amp;DATE(YEAR(A41),MONTH(A41)+1,1),Arrivals!$D$3:$D$1000,"Completed",Arrivals!$J$3:$J$1000,"Future LR1")</x:f>
        <x:v>0</x:v>
      </x:c>
      <x:c r="C41" s="169" t="n">
        <x:f>SUMIFS(Arrivals!$G$3:$G$1000,Arrivals!$A$3:$A$1000,"&gt;="&amp;A41,Arrivals!$A$3:$A$1000,"&lt;"&amp;DATE(YEAR(A41),MONTH(A41)+1,1),Arrivals!$D$3:$D$1000,"Completed",Arrivals!$J$3:$J$1000,"Third-party")</x:f>
        <x:v>0</x:v>
      </x:c>
      <x:c r="D41" s="169" t="n">
        <x:f>SUMIFS(Arrivals!$G$3:$G$1000,Arrivals!$A$3:$A$1000,"&gt;="&amp;A41,Arrivals!$A$3:$A$1000,"&lt;"&amp;EDATE(A41,1),Arrivals!$D$3:$D$1000,"Scheduled")+SUMIFS(Arrivals!$G$3:$G$1000,Arrivals!$A$3:$A$1000,"&gt;="&amp;A41,Arrivals!$A$3:$A$1000,"&lt;"&amp;EDATE(A41,1),Arrivals!$D$3:$D$1000,"Berthed / Discharging")+SUMIFS(Arrivals!$G$3:$G$1000,Arrivals!$A$3:$A$1000,"&gt;="&amp;A41,Arrivals!$A$3:$A$1000,"&lt;"&amp;EDATE(A41,1),Arrivals!$D$3:$D$1000,"Anchored / Awaiting berth")</x:f>
        <x:v>0</x:v>
      </x:c>
      <x:c r="E41" s="169" t="n">
        <x:f>SUM(B41:D41)</x:f>
        <x:v>0</x:v>
      </x:c>
      <x:c r="F41" s="169" t="n">
        <x:f>SUM(E39:E41)</x:f>
        <x:v>0</x:v>
      </x:c>
      <x:c r="G41" s="179" t="str">
        <x:f>IF(A41&lt;DATE(2026,8,1),"Historical vessel list not backfilled",IF(A41=DATE(2026,8,1),"Live Aratu capture","Forward / update pending"))</x:f>
        <x:v>Forward / update pending</x:v>
      </x:c>
      <x:c r="H41" s="169"/>
      <x:c r="I41" s="179" t="str">
        <x:f>IF(A41&lt;DATE(2026,8,1),"",IF(C41&gt;0,IF(B41&gt;0,"Future + third-party coexisting","Third-party only"),IF(B41&gt;0,"Future only","No tracked arrivals")))</x:f>
        <x:v>No tracked arrivals</x:v>
      </x:c>
      <x:c r="J41" s="179" t="str">
        <x:f>IF(A41=DATE(2026,8,1),"Completed + near-forward CODEBA data in Arrivals tab; ANP historical monthly backfill pending.","")</x:f>
      </x:c>
      <x:c r="K41" s="136"/>
      <x:c r="L41" s="136"/>
      <x:c r="M41" s="136"/>
      <x:c r="N41" s="136"/>
      <x:c r="O41" s="136"/>
      <x:c r="P41" s="136"/>
      <x:c r="Q41" s="136"/>
      <x:c r="R41" s="136"/>
      <x:c r="S41" s="136"/>
      <x:c r="T41" s="136"/>
      <x:c r="U41" s="136"/>
      <x:c r="V41" s="136"/>
      <x:c r="W41" s="136"/>
      <x:c r="X41" s="136"/>
      <x:c r="Y41" s="136"/>
      <x:c r="Z41" s="136"/>
    </x:row>
    <x:row r="42">
      <x:c r="A42" s="178" t="n">
        <x:v>46478</x:v>
      </x:c>
      <x:c r="B42" s="169" t="n">
        <x:f>SUMIFS(Arrivals!$G$3:$G$1000,Arrivals!$A$3:$A$1000,"&gt;="&amp;A42,Arrivals!$A$3:$A$1000,"&lt;"&amp;DATE(YEAR(A42),MONTH(A42)+1,1),Arrivals!$D$3:$D$1000,"Completed",Arrivals!$J$3:$J$1000,"Future LR1")</x:f>
        <x:v>0</x:v>
      </x:c>
      <x:c r="C42" s="169" t="n">
        <x:f>SUMIFS(Arrivals!$G$3:$G$1000,Arrivals!$A$3:$A$1000,"&gt;="&amp;A42,Arrivals!$A$3:$A$1000,"&lt;"&amp;DATE(YEAR(A42),MONTH(A42)+1,1),Arrivals!$D$3:$D$1000,"Completed",Arrivals!$J$3:$J$1000,"Third-party")</x:f>
        <x:v>0</x:v>
      </x:c>
      <x:c r="D42" s="169" t="n">
        <x:f>SUMIFS(Arrivals!$G$3:$G$1000,Arrivals!$A$3:$A$1000,"&gt;="&amp;A42,Arrivals!$A$3:$A$1000,"&lt;"&amp;EDATE(A42,1),Arrivals!$D$3:$D$1000,"Scheduled")+SUMIFS(Arrivals!$G$3:$G$1000,Arrivals!$A$3:$A$1000,"&gt;="&amp;A42,Arrivals!$A$3:$A$1000,"&lt;"&amp;EDATE(A42,1),Arrivals!$D$3:$D$1000,"Berthed / Discharging")+SUMIFS(Arrivals!$G$3:$G$1000,Arrivals!$A$3:$A$1000,"&gt;="&amp;A42,Arrivals!$A$3:$A$1000,"&lt;"&amp;EDATE(A42,1),Arrivals!$D$3:$D$1000,"Anchored / Awaiting berth")</x:f>
        <x:v>0</x:v>
      </x:c>
      <x:c r="E42" s="169" t="n">
        <x:f>SUM(B42:D42)</x:f>
        <x:v>0</x:v>
      </x:c>
      <x:c r="F42" s="169" t="n">
        <x:f>SUM(E40:E42)</x:f>
        <x:v>0</x:v>
      </x:c>
      <x:c r="G42" s="179" t="str">
        <x:f>IF(A42&lt;DATE(2026,8,1),"Historical vessel list not backfilled",IF(A42=DATE(2026,8,1),"Live Aratu capture","Forward / update pending"))</x:f>
        <x:v>Forward / update pending</x:v>
      </x:c>
      <x:c r="H42" s="169"/>
      <x:c r="I42" s="179" t="str">
        <x:f>IF(A42&lt;DATE(2026,8,1),"",IF(C42&gt;0,IF(B42&gt;0,"Future + third-party coexisting","Third-party only"),IF(B42&gt;0,"Future only","No tracked arrivals")))</x:f>
        <x:v>No tracked arrivals</x:v>
      </x:c>
      <x:c r="J42" s="179" t="str">
        <x:f>IF(A42=DATE(2026,8,1),"Completed + near-forward CODEBA data in Arrivals tab; ANP historical monthly backfill pending.","")</x:f>
      </x:c>
      <x:c r="K42" s="136"/>
      <x:c r="L42" s="136"/>
      <x:c r="M42" s="136"/>
      <x:c r="N42" s="136"/>
      <x:c r="O42" s="136"/>
      <x:c r="P42" s="136"/>
      <x:c r="Q42" s="136"/>
      <x:c r="R42" s="136"/>
      <x:c r="S42" s="136"/>
      <x:c r="T42" s="136"/>
      <x:c r="U42" s="136"/>
      <x:c r="V42" s="136"/>
      <x:c r="W42" s="136"/>
      <x:c r="X42" s="136"/>
      <x:c r="Y42" s="136"/>
      <x:c r="Z42" s="136"/>
    </x:row>
    <x:row r="43">
      <x:c r="A43" s="178" t="n">
        <x:v>46508</x:v>
      </x:c>
      <x:c r="B43" s="169" t="n">
        <x:f>SUMIFS(Arrivals!$G$3:$G$1000,Arrivals!$A$3:$A$1000,"&gt;="&amp;A43,Arrivals!$A$3:$A$1000,"&lt;"&amp;DATE(YEAR(A43),MONTH(A43)+1,1),Arrivals!$D$3:$D$1000,"Completed",Arrivals!$J$3:$J$1000,"Future LR1")</x:f>
        <x:v>0</x:v>
      </x:c>
      <x:c r="C43" s="169" t="n">
        <x:f>SUMIFS(Arrivals!$G$3:$G$1000,Arrivals!$A$3:$A$1000,"&gt;="&amp;A43,Arrivals!$A$3:$A$1000,"&lt;"&amp;DATE(YEAR(A43),MONTH(A43)+1,1),Arrivals!$D$3:$D$1000,"Completed",Arrivals!$J$3:$J$1000,"Third-party")</x:f>
        <x:v>0</x:v>
      </x:c>
      <x:c r="D43" s="169" t="n">
        <x:f>SUMIFS(Arrivals!$G$3:$G$1000,Arrivals!$A$3:$A$1000,"&gt;="&amp;A43,Arrivals!$A$3:$A$1000,"&lt;"&amp;EDATE(A43,1),Arrivals!$D$3:$D$1000,"Scheduled")+SUMIFS(Arrivals!$G$3:$G$1000,Arrivals!$A$3:$A$1000,"&gt;="&amp;A43,Arrivals!$A$3:$A$1000,"&lt;"&amp;EDATE(A43,1),Arrivals!$D$3:$D$1000,"Berthed / Discharging")+SUMIFS(Arrivals!$G$3:$G$1000,Arrivals!$A$3:$A$1000,"&gt;="&amp;A43,Arrivals!$A$3:$A$1000,"&lt;"&amp;EDATE(A43,1),Arrivals!$D$3:$D$1000,"Anchored / Awaiting berth")</x:f>
        <x:v>0</x:v>
      </x:c>
      <x:c r="E43" s="169" t="n">
        <x:f>SUM(B43:D43)</x:f>
        <x:v>0</x:v>
      </x:c>
      <x:c r="F43" s="169" t="n">
        <x:f>SUM(E41:E43)</x:f>
        <x:v>0</x:v>
      </x:c>
      <x:c r="G43" s="179" t="str">
        <x:f>IF(A43&lt;DATE(2026,8,1),"Historical vessel list not backfilled",IF(A43=DATE(2026,8,1),"Live Aratu capture","Forward / update pending"))</x:f>
        <x:v>Forward / update pending</x:v>
      </x:c>
      <x:c r="H43" s="169"/>
      <x:c r="I43" s="179" t="str">
        <x:f>IF(A43&lt;DATE(2026,8,1),"",IF(C43&gt;0,IF(B43&gt;0,"Future + third-party coexisting","Third-party only"),IF(B43&gt;0,"Future only","No tracked arrivals")))</x:f>
        <x:v>No tracked arrivals</x:v>
      </x:c>
      <x:c r="J43" s="179" t="str">
        <x:f>IF(A43=DATE(2026,8,1),"Completed + near-forward CODEBA data in Arrivals tab; ANP historical monthly backfill pending.","")</x:f>
      </x:c>
      <x:c r="K43" s="136"/>
      <x:c r="L43" s="136"/>
      <x:c r="M43" s="136"/>
      <x:c r="N43" s="136"/>
      <x:c r="O43" s="136"/>
      <x:c r="P43" s="136"/>
      <x:c r="Q43" s="136"/>
      <x:c r="R43" s="136"/>
      <x:c r="S43" s="136"/>
      <x:c r="T43" s="136"/>
      <x:c r="U43" s="136"/>
      <x:c r="V43" s="136"/>
      <x:c r="W43" s="136"/>
      <x:c r="X43" s="136"/>
      <x:c r="Y43" s="136"/>
      <x:c r="Z43" s="136"/>
    </x:row>
    <x:row r="44">
      <x:c r="A44" s="178" t="n">
        <x:v>46539</x:v>
      </x:c>
      <x:c r="B44" s="169" t="n">
        <x:f>SUMIFS(Arrivals!$G$3:$G$1000,Arrivals!$A$3:$A$1000,"&gt;="&amp;A44,Arrivals!$A$3:$A$1000,"&lt;"&amp;DATE(YEAR(A44),MONTH(A44)+1,1),Arrivals!$D$3:$D$1000,"Completed",Arrivals!$J$3:$J$1000,"Future LR1")</x:f>
        <x:v>0</x:v>
      </x:c>
      <x:c r="C44" s="169" t="n">
        <x:f>SUMIFS(Arrivals!$G$3:$G$1000,Arrivals!$A$3:$A$1000,"&gt;="&amp;A44,Arrivals!$A$3:$A$1000,"&lt;"&amp;DATE(YEAR(A44),MONTH(A44)+1,1),Arrivals!$D$3:$D$1000,"Completed",Arrivals!$J$3:$J$1000,"Third-party")</x:f>
        <x:v>0</x:v>
      </x:c>
      <x:c r="D44" s="169" t="n">
        <x:f>SUMIFS(Arrivals!$G$3:$G$1000,Arrivals!$A$3:$A$1000,"&gt;="&amp;A44,Arrivals!$A$3:$A$1000,"&lt;"&amp;EDATE(A44,1),Arrivals!$D$3:$D$1000,"Scheduled")+SUMIFS(Arrivals!$G$3:$G$1000,Arrivals!$A$3:$A$1000,"&gt;="&amp;A44,Arrivals!$A$3:$A$1000,"&lt;"&amp;EDATE(A44,1),Arrivals!$D$3:$D$1000,"Berthed / Discharging")+SUMIFS(Arrivals!$G$3:$G$1000,Arrivals!$A$3:$A$1000,"&gt;="&amp;A44,Arrivals!$A$3:$A$1000,"&lt;"&amp;EDATE(A44,1),Arrivals!$D$3:$D$1000,"Anchored / Awaiting berth")</x:f>
        <x:v>0</x:v>
      </x:c>
      <x:c r="E44" s="169" t="n">
        <x:f>SUM(B44:D44)</x:f>
        <x:v>0</x:v>
      </x:c>
      <x:c r="F44" s="169" t="n">
        <x:f>SUM(E42:E44)</x:f>
        <x:v>0</x:v>
      </x:c>
      <x:c r="G44" s="179" t="str">
        <x:f>IF(A44&lt;DATE(2026,8,1),"Historical vessel list not backfilled",IF(A44=DATE(2026,8,1),"Live Aratu capture","Forward / update pending"))</x:f>
        <x:v>Forward / update pending</x:v>
      </x:c>
      <x:c r="H44" s="169"/>
      <x:c r="I44" s="179" t="str">
        <x:f>IF(A44&lt;DATE(2026,8,1),"",IF(C44&gt;0,IF(B44&gt;0,"Future + third-party coexisting","Third-party only"),IF(B44&gt;0,"Future only","No tracked arrivals")))</x:f>
        <x:v>No tracked arrivals</x:v>
      </x:c>
      <x:c r="J44" s="179" t="str">
        <x:f>IF(A44=DATE(2026,8,1),"Completed + near-forward CODEBA data in Arrivals tab; ANP historical monthly backfill pending.","")</x:f>
      </x:c>
      <x:c r="K44" s="136"/>
      <x:c r="L44" s="136"/>
      <x:c r="M44" s="136"/>
      <x:c r="N44" s="136"/>
      <x:c r="O44" s="136"/>
      <x:c r="P44" s="136"/>
      <x:c r="Q44" s="136"/>
      <x:c r="R44" s="136"/>
      <x:c r="S44" s="136"/>
      <x:c r="T44" s="136"/>
      <x:c r="U44" s="136"/>
      <x:c r="V44" s="136"/>
      <x:c r="W44" s="136"/>
      <x:c r="X44" s="136"/>
      <x:c r="Y44" s="136"/>
      <x:c r="Z44" s="136"/>
    </x:row>
    <x:row r="45">
      <x:c r="A45" s="178" t="n">
        <x:v>46569</x:v>
      </x:c>
      <x:c r="B45" s="169" t="n">
        <x:f>SUMIFS(Arrivals!$G$3:$G$1000,Arrivals!$A$3:$A$1000,"&gt;="&amp;A45,Arrivals!$A$3:$A$1000,"&lt;"&amp;DATE(YEAR(A45),MONTH(A45)+1,1),Arrivals!$D$3:$D$1000,"Completed",Arrivals!$J$3:$J$1000,"Future LR1")</x:f>
        <x:v>0</x:v>
      </x:c>
      <x:c r="C45" s="169" t="n">
        <x:f>SUMIFS(Arrivals!$G$3:$G$1000,Arrivals!$A$3:$A$1000,"&gt;="&amp;A45,Arrivals!$A$3:$A$1000,"&lt;"&amp;DATE(YEAR(A45),MONTH(A45)+1,1),Arrivals!$D$3:$D$1000,"Completed",Arrivals!$J$3:$J$1000,"Third-party")</x:f>
        <x:v>0</x:v>
      </x:c>
      <x:c r="D45" s="169" t="n">
        <x:f>SUMIFS(Arrivals!$G$3:$G$1000,Arrivals!$A$3:$A$1000,"&gt;="&amp;A45,Arrivals!$A$3:$A$1000,"&lt;"&amp;EDATE(A45,1),Arrivals!$D$3:$D$1000,"Scheduled")+SUMIFS(Arrivals!$G$3:$G$1000,Arrivals!$A$3:$A$1000,"&gt;="&amp;A45,Arrivals!$A$3:$A$1000,"&lt;"&amp;EDATE(A45,1),Arrivals!$D$3:$D$1000,"Berthed / Discharging")+SUMIFS(Arrivals!$G$3:$G$1000,Arrivals!$A$3:$A$1000,"&gt;="&amp;A45,Arrivals!$A$3:$A$1000,"&lt;"&amp;EDATE(A45,1),Arrivals!$D$3:$D$1000,"Anchored / Awaiting berth")</x:f>
        <x:v>0</x:v>
      </x:c>
      <x:c r="E45" s="169" t="n">
        <x:f>SUM(B45:D45)</x:f>
        <x:v>0</x:v>
      </x:c>
      <x:c r="F45" s="169" t="n">
        <x:f>SUM(E43:E45)</x:f>
        <x:v>0</x:v>
      </x:c>
      <x:c r="G45" s="179" t="str">
        <x:f>IF(A45&lt;DATE(2026,8,1),"Historical vessel list not backfilled",IF(A45=DATE(2026,8,1),"Live Aratu capture","Forward / update pending"))</x:f>
        <x:v>Forward / update pending</x:v>
      </x:c>
      <x:c r="H45" s="169"/>
      <x:c r="I45" s="179" t="str">
        <x:f>IF(A45&lt;DATE(2026,8,1),"",IF(C45&gt;0,IF(B45&gt;0,"Future + third-party coexisting","Third-party only"),IF(B45&gt;0,"Future only","No tracked arrivals")))</x:f>
        <x:v>No tracked arrivals</x:v>
      </x:c>
      <x:c r="J45" s="179" t="str">
        <x:f>IF(A45=DATE(2026,8,1),"Completed + near-forward CODEBA data in Arrivals tab; ANP historical monthly backfill pending.","")</x:f>
      </x:c>
      <x:c r="K45" s="136"/>
      <x:c r="L45" s="136"/>
      <x:c r="M45" s="136"/>
      <x:c r="N45" s="136"/>
      <x:c r="O45" s="136"/>
      <x:c r="P45" s="136"/>
      <x:c r="Q45" s="136"/>
      <x:c r="R45" s="136"/>
      <x:c r="S45" s="136"/>
      <x:c r="T45" s="136"/>
      <x:c r="U45" s="136"/>
      <x:c r="V45" s="136"/>
      <x:c r="W45" s="136"/>
      <x:c r="X45" s="136"/>
      <x:c r="Y45" s="136"/>
      <x:c r="Z45" s="136"/>
    </x:row>
    <x:row r="46">
      <x:c r="A46" s="178" t="n">
        <x:v>46600</x:v>
      </x:c>
      <x:c r="B46" s="169" t="n">
        <x:f>SUMIFS(Arrivals!$G$3:$G$1000,Arrivals!$A$3:$A$1000,"&gt;="&amp;A46,Arrivals!$A$3:$A$1000,"&lt;"&amp;DATE(YEAR(A46),MONTH(A46)+1,1),Arrivals!$D$3:$D$1000,"Completed",Arrivals!$J$3:$J$1000,"Future LR1")</x:f>
        <x:v>0</x:v>
      </x:c>
      <x:c r="C46" s="169" t="n">
        <x:f>SUMIFS(Arrivals!$G$3:$G$1000,Arrivals!$A$3:$A$1000,"&gt;="&amp;A46,Arrivals!$A$3:$A$1000,"&lt;"&amp;DATE(YEAR(A46),MONTH(A46)+1,1),Arrivals!$D$3:$D$1000,"Completed",Arrivals!$J$3:$J$1000,"Third-party")</x:f>
        <x:v>0</x:v>
      </x:c>
      <x:c r="D46" s="169" t="n">
        <x:f>SUMIFS(Arrivals!$G$3:$G$1000,Arrivals!$A$3:$A$1000,"&gt;="&amp;A46,Arrivals!$A$3:$A$1000,"&lt;"&amp;EDATE(A46,1),Arrivals!$D$3:$D$1000,"Scheduled")+SUMIFS(Arrivals!$G$3:$G$1000,Arrivals!$A$3:$A$1000,"&gt;="&amp;A46,Arrivals!$A$3:$A$1000,"&lt;"&amp;EDATE(A46,1),Arrivals!$D$3:$D$1000,"Berthed / Discharging")+SUMIFS(Arrivals!$G$3:$G$1000,Arrivals!$A$3:$A$1000,"&gt;="&amp;A46,Arrivals!$A$3:$A$1000,"&lt;"&amp;EDATE(A46,1),Arrivals!$D$3:$D$1000,"Anchored / Awaiting berth")</x:f>
        <x:v>0</x:v>
      </x:c>
      <x:c r="E46" s="169" t="n">
        <x:f>SUM(B46:D46)</x:f>
        <x:v>0</x:v>
      </x:c>
      <x:c r="F46" s="169" t="n">
        <x:f>SUM(E44:E46)</x:f>
        <x:v>0</x:v>
      </x:c>
      <x:c r="G46" s="179" t="str">
        <x:f>IF(A46&lt;DATE(2026,8,1),"Historical vessel list not backfilled",IF(A46=DATE(2026,8,1),"Live Aratu capture","Forward / update pending"))</x:f>
        <x:v>Forward / update pending</x:v>
      </x:c>
      <x:c r="H46" s="169"/>
      <x:c r="I46" s="179" t="str">
        <x:f>IF(A46&lt;DATE(2026,8,1),"",IF(C46&gt;0,IF(B46&gt;0,"Future + third-party coexisting","Third-party only"),IF(B46&gt;0,"Future only","No tracked arrivals")))</x:f>
        <x:v>No tracked arrivals</x:v>
      </x:c>
      <x:c r="J46" s="179" t="str">
        <x:f>IF(A46=DATE(2026,8,1),"Completed + near-forward CODEBA data in Arrivals tab; ANP historical monthly backfill pending.","")</x:f>
      </x:c>
      <x:c r="K46" s="136"/>
      <x:c r="L46" s="136"/>
      <x:c r="M46" s="136"/>
      <x:c r="N46" s="136"/>
      <x:c r="O46" s="136"/>
      <x:c r="P46" s="136"/>
      <x:c r="Q46" s="136"/>
      <x:c r="R46" s="136"/>
      <x:c r="S46" s="136"/>
      <x:c r="T46" s="136"/>
      <x:c r="U46" s="136"/>
      <x:c r="V46" s="136"/>
      <x:c r="W46" s="136"/>
      <x:c r="X46" s="136"/>
      <x:c r="Y46" s="136"/>
      <x:c r="Z46" s="136"/>
    </x:row>
    <x:row r="47">
      <x:c r="A47" s="178" t="n">
        <x:v>46631</x:v>
      </x:c>
      <x:c r="B47" s="169" t="n">
        <x:f>SUMIFS(Arrivals!$G$3:$G$1000,Arrivals!$A$3:$A$1000,"&gt;="&amp;A47,Arrivals!$A$3:$A$1000,"&lt;"&amp;DATE(YEAR(A47),MONTH(A47)+1,1),Arrivals!$D$3:$D$1000,"Completed",Arrivals!$J$3:$J$1000,"Future LR1")</x:f>
        <x:v>0</x:v>
      </x:c>
      <x:c r="C47" s="169" t="n">
        <x:f>SUMIFS(Arrivals!$G$3:$G$1000,Arrivals!$A$3:$A$1000,"&gt;="&amp;A47,Arrivals!$A$3:$A$1000,"&lt;"&amp;DATE(YEAR(A47),MONTH(A47)+1,1),Arrivals!$D$3:$D$1000,"Completed",Arrivals!$J$3:$J$1000,"Third-party")</x:f>
        <x:v>0</x:v>
      </x:c>
      <x:c r="D47" s="169" t="n">
        <x:f>SUMIFS(Arrivals!$G$3:$G$1000,Arrivals!$A$3:$A$1000,"&gt;="&amp;A47,Arrivals!$A$3:$A$1000,"&lt;"&amp;EDATE(A47,1),Arrivals!$D$3:$D$1000,"Scheduled")+SUMIFS(Arrivals!$G$3:$G$1000,Arrivals!$A$3:$A$1000,"&gt;="&amp;A47,Arrivals!$A$3:$A$1000,"&lt;"&amp;EDATE(A47,1),Arrivals!$D$3:$D$1000,"Berthed / Discharging")+SUMIFS(Arrivals!$G$3:$G$1000,Arrivals!$A$3:$A$1000,"&gt;="&amp;A47,Arrivals!$A$3:$A$1000,"&lt;"&amp;EDATE(A47,1),Arrivals!$D$3:$D$1000,"Anchored / Awaiting berth")</x:f>
        <x:v>0</x:v>
      </x:c>
      <x:c r="E47" s="169" t="n">
        <x:f>SUM(B47:D47)</x:f>
        <x:v>0</x:v>
      </x:c>
      <x:c r="F47" s="169" t="n">
        <x:f>SUM(E45:E47)</x:f>
        <x:v>0</x:v>
      </x:c>
      <x:c r="G47" s="179" t="str">
        <x:f>IF(A47&lt;DATE(2026,8,1),"Historical vessel list not backfilled",IF(A47=DATE(2026,8,1),"Live Aratu capture","Forward / update pending"))</x:f>
        <x:v>Forward / update pending</x:v>
      </x:c>
      <x:c r="H47" s="169"/>
      <x:c r="I47" s="179" t="str">
        <x:f>IF(A47&lt;DATE(2026,8,1),"",IF(C47&gt;0,IF(B47&gt;0,"Future + third-party coexisting","Third-party only"),IF(B47&gt;0,"Future only","No tracked arrivals")))</x:f>
        <x:v>No tracked arrivals</x:v>
      </x:c>
      <x:c r="J47" s="179" t="str">
        <x:f>IF(A47=DATE(2026,8,1),"Completed + near-forward CODEBA data in Arrivals tab; ANP historical monthly backfill pending.","")</x:f>
      </x:c>
      <x:c r="K47" s="136"/>
      <x:c r="L47" s="136"/>
      <x:c r="M47" s="136"/>
      <x:c r="N47" s="136"/>
      <x:c r="O47" s="136"/>
      <x:c r="P47" s="136"/>
      <x:c r="Q47" s="136"/>
      <x:c r="R47" s="136"/>
      <x:c r="S47" s="136"/>
      <x:c r="T47" s="136"/>
      <x:c r="U47" s="136"/>
      <x:c r="V47" s="136"/>
      <x:c r="W47" s="136"/>
      <x:c r="X47" s="136"/>
      <x:c r="Y47" s="136"/>
      <x:c r="Z47" s="136"/>
    </x:row>
    <x:row r="48">
      <x:c r="A48" s="178" t="n">
        <x:v>46661</x:v>
      </x:c>
      <x:c r="B48" s="169" t="n">
        <x:f>SUMIFS(Arrivals!$G$3:$G$1000,Arrivals!$A$3:$A$1000,"&gt;="&amp;A48,Arrivals!$A$3:$A$1000,"&lt;"&amp;DATE(YEAR(A48),MONTH(A48)+1,1),Arrivals!$D$3:$D$1000,"Completed",Arrivals!$J$3:$J$1000,"Future LR1")</x:f>
        <x:v>0</x:v>
      </x:c>
      <x:c r="C48" s="169" t="n">
        <x:f>SUMIFS(Arrivals!$G$3:$G$1000,Arrivals!$A$3:$A$1000,"&gt;="&amp;A48,Arrivals!$A$3:$A$1000,"&lt;"&amp;DATE(YEAR(A48),MONTH(A48)+1,1),Arrivals!$D$3:$D$1000,"Completed",Arrivals!$J$3:$J$1000,"Third-party")</x:f>
        <x:v>0</x:v>
      </x:c>
      <x:c r="D48" s="169" t="n">
        <x:f>SUMIFS(Arrivals!$G$3:$G$1000,Arrivals!$A$3:$A$1000,"&gt;="&amp;A48,Arrivals!$A$3:$A$1000,"&lt;"&amp;EDATE(A48,1),Arrivals!$D$3:$D$1000,"Scheduled")+SUMIFS(Arrivals!$G$3:$G$1000,Arrivals!$A$3:$A$1000,"&gt;="&amp;A48,Arrivals!$A$3:$A$1000,"&lt;"&amp;EDATE(A48,1),Arrivals!$D$3:$D$1000,"Berthed / Discharging")+SUMIFS(Arrivals!$G$3:$G$1000,Arrivals!$A$3:$A$1000,"&gt;="&amp;A48,Arrivals!$A$3:$A$1000,"&lt;"&amp;EDATE(A48,1),Arrivals!$D$3:$D$1000,"Anchored / Awaiting berth")</x:f>
        <x:v>0</x:v>
      </x:c>
      <x:c r="E48" s="169" t="n">
        <x:f>SUM(B48:D48)</x:f>
        <x:v>0</x:v>
      </x:c>
      <x:c r="F48" s="169" t="n">
        <x:f>SUM(E46:E48)</x:f>
        <x:v>0</x:v>
      </x:c>
      <x:c r="G48" s="179" t="str">
        <x:f>IF(A48&lt;DATE(2026,8,1),"Historical vessel list not backfilled",IF(A48=DATE(2026,8,1),"Live Aratu capture","Forward / update pending"))</x:f>
        <x:v>Forward / update pending</x:v>
      </x:c>
      <x:c r="H48" s="169"/>
      <x:c r="I48" s="179" t="str">
        <x:f>IF(A48&lt;DATE(2026,8,1),"",IF(C48&gt;0,IF(B48&gt;0,"Future + third-party coexisting","Third-party only"),IF(B48&gt;0,"Future only","No tracked arrivals")))</x:f>
        <x:v>No tracked arrivals</x:v>
      </x:c>
      <x:c r="J48" s="179" t="str">
        <x:f>IF(A48=DATE(2026,8,1),"Completed + near-forward CODEBA data in Arrivals tab; ANP historical monthly backfill pending.","")</x:f>
      </x:c>
      <x:c r="K48" s="136"/>
      <x:c r="L48" s="136"/>
      <x:c r="M48" s="136"/>
      <x:c r="N48" s="136"/>
      <x:c r="O48" s="136"/>
      <x:c r="P48" s="136"/>
      <x:c r="Q48" s="136"/>
      <x:c r="R48" s="136"/>
      <x:c r="S48" s="136"/>
      <x:c r="T48" s="136"/>
      <x:c r="U48" s="136"/>
      <x:c r="V48" s="136"/>
      <x:c r="W48" s="136"/>
      <x:c r="X48" s="136"/>
      <x:c r="Y48" s="136"/>
      <x:c r="Z48" s="136"/>
    </x:row>
    <x:row r="49">
      <x:c r="A49" s="178" t="n">
        <x:v>46692</x:v>
      </x:c>
      <x:c r="B49" s="169" t="n">
        <x:f>SUMIFS(Arrivals!$G$3:$G$1000,Arrivals!$A$3:$A$1000,"&gt;="&amp;A49,Arrivals!$A$3:$A$1000,"&lt;"&amp;DATE(YEAR(A49),MONTH(A49)+1,1),Arrivals!$D$3:$D$1000,"Completed",Arrivals!$J$3:$J$1000,"Future LR1")</x:f>
        <x:v>0</x:v>
      </x:c>
      <x:c r="C49" s="169" t="n">
        <x:f>SUMIFS(Arrivals!$G$3:$G$1000,Arrivals!$A$3:$A$1000,"&gt;="&amp;A49,Arrivals!$A$3:$A$1000,"&lt;"&amp;DATE(YEAR(A49),MONTH(A49)+1,1),Arrivals!$D$3:$D$1000,"Completed",Arrivals!$J$3:$J$1000,"Third-party")</x:f>
        <x:v>0</x:v>
      </x:c>
      <x:c r="D49" s="169" t="n">
        <x:f>SUMIFS(Arrivals!$G$3:$G$1000,Arrivals!$A$3:$A$1000,"&gt;="&amp;A49,Arrivals!$A$3:$A$1000,"&lt;"&amp;EDATE(A49,1),Arrivals!$D$3:$D$1000,"Scheduled")+SUMIFS(Arrivals!$G$3:$G$1000,Arrivals!$A$3:$A$1000,"&gt;="&amp;A49,Arrivals!$A$3:$A$1000,"&lt;"&amp;EDATE(A49,1),Arrivals!$D$3:$D$1000,"Berthed / Discharging")+SUMIFS(Arrivals!$G$3:$G$1000,Arrivals!$A$3:$A$1000,"&gt;="&amp;A49,Arrivals!$A$3:$A$1000,"&lt;"&amp;EDATE(A49,1),Arrivals!$D$3:$D$1000,"Anchored / Awaiting berth")</x:f>
        <x:v>0</x:v>
      </x:c>
      <x:c r="E49" s="169" t="n">
        <x:f>SUM(B49:D49)</x:f>
        <x:v>0</x:v>
      </x:c>
      <x:c r="F49" s="169" t="n">
        <x:f>SUM(E47:E49)</x:f>
        <x:v>0</x:v>
      </x:c>
      <x:c r="G49" s="179" t="str">
        <x:f>IF(A49&lt;DATE(2026,8,1),"Historical vessel list not backfilled",IF(A49=DATE(2026,8,1),"Live Aratu capture","Forward / update pending"))</x:f>
        <x:v>Forward / update pending</x:v>
      </x:c>
      <x:c r="H49" s="169"/>
      <x:c r="I49" s="179" t="str">
        <x:f>IF(A49&lt;DATE(2026,8,1),"",IF(C49&gt;0,IF(B49&gt;0,"Future + third-party coexisting","Third-party only"),IF(B49&gt;0,"Future only","No tracked arrivals")))</x:f>
        <x:v>No tracked arrivals</x:v>
      </x:c>
      <x:c r="J49" s="179" t="str">
        <x:f>IF(A49=DATE(2026,8,1),"Completed + near-forward CODEBA data in Arrivals tab; ANP historical monthly backfill pending.","")</x:f>
      </x:c>
      <x:c r="K49" s="136"/>
      <x:c r="L49" s="136"/>
      <x:c r="M49" s="136"/>
      <x:c r="N49" s="136"/>
      <x:c r="O49" s="136"/>
      <x:c r="P49" s="136"/>
      <x:c r="Q49" s="136"/>
      <x:c r="R49" s="136"/>
      <x:c r="S49" s="136"/>
      <x:c r="T49" s="136"/>
      <x:c r="U49" s="136"/>
      <x:c r="V49" s="136"/>
      <x:c r="W49" s="136"/>
      <x:c r="X49" s="136"/>
      <x:c r="Y49" s="136"/>
      <x:c r="Z49" s="136"/>
    </x:row>
    <x:row r="50">
      <x:c r="A50" s="178" t="n">
        <x:v>46722</x:v>
      </x:c>
      <x:c r="B50" s="169" t="n">
        <x:f>SUMIFS(Arrivals!$G$3:$G$1000,Arrivals!$A$3:$A$1000,"&gt;="&amp;A50,Arrivals!$A$3:$A$1000,"&lt;"&amp;DATE(YEAR(A50),MONTH(A50)+1,1),Arrivals!$D$3:$D$1000,"Completed",Arrivals!$J$3:$J$1000,"Future LR1")</x:f>
        <x:v>0</x:v>
      </x:c>
      <x:c r="C50" s="169" t="n">
        <x:f>SUMIFS(Arrivals!$G$3:$G$1000,Arrivals!$A$3:$A$1000,"&gt;="&amp;A50,Arrivals!$A$3:$A$1000,"&lt;"&amp;DATE(YEAR(A50),MONTH(A50)+1,1),Arrivals!$D$3:$D$1000,"Completed",Arrivals!$J$3:$J$1000,"Third-party")</x:f>
        <x:v>0</x:v>
      </x:c>
      <x:c r="D50" s="169" t="n">
        <x:f>SUMIFS(Arrivals!$G$3:$G$1000,Arrivals!$A$3:$A$1000,"&gt;="&amp;A50,Arrivals!$A$3:$A$1000,"&lt;"&amp;EDATE(A50,1),Arrivals!$D$3:$D$1000,"Scheduled")+SUMIFS(Arrivals!$G$3:$G$1000,Arrivals!$A$3:$A$1000,"&gt;="&amp;A50,Arrivals!$A$3:$A$1000,"&lt;"&amp;EDATE(A50,1),Arrivals!$D$3:$D$1000,"Berthed / Discharging")+SUMIFS(Arrivals!$G$3:$G$1000,Arrivals!$A$3:$A$1000,"&gt;="&amp;A50,Arrivals!$A$3:$A$1000,"&lt;"&amp;EDATE(A50,1),Arrivals!$D$3:$D$1000,"Anchored / Awaiting berth")</x:f>
        <x:v>0</x:v>
      </x:c>
      <x:c r="E50" s="169" t="n">
        <x:f>SUM(B50:D50)</x:f>
        <x:v>0</x:v>
      </x:c>
      <x:c r="F50" s="169" t="n">
        <x:f>SUM(E48:E50)</x:f>
        <x:v>0</x:v>
      </x:c>
      <x:c r="G50" s="179" t="str">
        <x:f>IF(A50&lt;DATE(2026,8,1),"Historical vessel list not backfilled",IF(A50=DATE(2026,8,1),"Live Aratu capture","Forward / update pending"))</x:f>
        <x:v>Forward / update pending</x:v>
      </x:c>
      <x:c r="H50" s="169"/>
      <x:c r="I50" s="179" t="str">
        <x:f>IF(A50&lt;DATE(2026,8,1),"",IF(C50&gt;0,IF(B50&gt;0,"Future + third-party coexisting","Third-party only"),IF(B50&gt;0,"Future only","No tracked arrivals")))</x:f>
        <x:v>No tracked arrivals</x:v>
      </x:c>
      <x:c r="J50" s="179" t="str">
        <x:f>IF(A50=DATE(2026,8,1),"Completed + near-forward CODEBA data in Arrivals tab; ANP historical monthly backfill pending.","")</x:f>
      </x:c>
      <x:c r="K50" s="136"/>
      <x:c r="L50" s="136"/>
      <x:c r="M50" s="136"/>
      <x:c r="N50" s="136"/>
      <x:c r="O50" s="136"/>
      <x:c r="P50" s="136"/>
      <x:c r="Q50" s="136"/>
      <x:c r="R50" s="136"/>
      <x:c r="S50" s="136"/>
      <x:c r="T50" s="136"/>
      <x:c r="U50" s="136"/>
      <x:c r="V50" s="136"/>
      <x:c r="W50" s="136"/>
      <x:c r="X50" s="136"/>
      <x:c r="Y50" s="136"/>
      <x:c r="Z50" s="136"/>
    </x:row>
    <x:row r="51">
      <x:c r="A51" s="136"/>
      <x:c r="B51" s="136"/>
      <x:c r="C51" s="136"/>
      <x:c r="D51" s="136"/>
      <x:c r="E51" s="136"/>
      <x:c r="F51" s="136"/>
      <x:c r="G51" s="136"/>
      <x:c r="H51" s="136"/>
      <x:c r="I51" s="136"/>
      <x:c r="J51" s="136"/>
      <x:c r="K51" s="136"/>
      <x:c r="L51" s="136"/>
      <x:c r="M51" s="136"/>
      <x:c r="N51" s="136"/>
      <x:c r="O51" s="136"/>
      <x:c r="P51" s="136"/>
      <x:c r="Q51" s="136"/>
      <x:c r="R51" s="136"/>
      <x:c r="S51" s="136"/>
      <x:c r="T51" s="136"/>
      <x:c r="U51" s="136"/>
      <x:c r="V51" s="136"/>
      <x:c r="W51" s="136"/>
      <x:c r="X51" s="136"/>
      <x:c r="Y51" s="136"/>
      <x:c r="Z51" s="136"/>
    </x:row>
    <x:row r="52">
      <x:c r="A52" s="136"/>
      <x:c r="B52" s="136"/>
      <x:c r="C52" s="136"/>
      <x:c r="D52" s="136"/>
      <x:c r="E52" s="136"/>
      <x:c r="F52" s="136"/>
      <x:c r="G52" s="136"/>
      <x:c r="H52" s="136"/>
      <x:c r="I52" s="136"/>
      <x:c r="J52" s="136"/>
      <x:c r="K52" s="136"/>
      <x:c r="L52" s="136"/>
      <x:c r="M52" s="136"/>
      <x:c r="N52" s="136"/>
      <x:c r="O52" s="136"/>
      <x:c r="P52" s="136"/>
      <x:c r="Q52" s="136"/>
      <x:c r="R52" s="136"/>
      <x:c r="S52" s="136"/>
      <x:c r="T52" s="136"/>
      <x:c r="U52" s="136"/>
      <x:c r="V52" s="136"/>
      <x:c r="W52" s="136"/>
      <x:c r="X52" s="136"/>
      <x:c r="Y52" s="136"/>
      <x:c r="Z52" s="136"/>
    </x:row>
    <x:row r="53">
      <x:c r="A53" s="136"/>
      <x:c r="B53" s="136"/>
      <x:c r="C53" s="136"/>
      <x:c r="D53" s="136"/>
      <x:c r="E53" s="136"/>
      <x:c r="F53" s="136"/>
      <x:c r="G53" s="136"/>
      <x:c r="H53" s="136"/>
      <x:c r="I53" s="136"/>
      <x:c r="J53" s="136"/>
      <x:c r="K53" s="136"/>
      <x:c r="L53" s="136"/>
      <x:c r="M53" s="136"/>
      <x:c r="N53" s="136"/>
      <x:c r="O53" s="136"/>
      <x:c r="P53" s="136"/>
      <x:c r="Q53" s="136"/>
      <x:c r="R53" s="136"/>
      <x:c r="S53" s="136"/>
      <x:c r="T53" s="136"/>
      <x:c r="U53" s="136"/>
      <x:c r="V53" s="136"/>
      <x:c r="W53" s="136"/>
      <x:c r="X53" s="136"/>
      <x:c r="Y53" s="136"/>
      <x:c r="Z53" s="136"/>
    </x:row>
    <x:row r="54">
      <x:c r="A54" s="136"/>
      <x:c r="B54" s="136"/>
      <x:c r="C54" s="136"/>
      <x:c r="D54" s="136"/>
      <x:c r="E54" s="136"/>
      <x:c r="F54" s="136"/>
      <x:c r="G54" s="136"/>
      <x:c r="H54" s="136"/>
      <x:c r="I54" s="136"/>
      <x:c r="J54" s="136"/>
      <x:c r="K54" s="136"/>
      <x:c r="L54" s="136"/>
      <x:c r="M54" s="136"/>
      <x:c r="N54" s="136"/>
      <x:c r="O54" s="136"/>
      <x:c r="P54" s="136"/>
      <x:c r="Q54" s="136"/>
      <x:c r="R54" s="136"/>
      <x:c r="S54" s="136"/>
      <x:c r="T54" s="136"/>
      <x:c r="U54" s="136"/>
      <x:c r="V54" s="136"/>
      <x:c r="W54" s="136"/>
      <x:c r="X54" s="136"/>
      <x:c r="Y54" s="136"/>
      <x:c r="Z54" s="136"/>
    </x:row>
    <x:row r="55">
      <x:c r="A55" s="136"/>
      <x:c r="B55" s="136"/>
      <x:c r="C55" s="136"/>
      <x:c r="D55" s="136"/>
      <x:c r="E55" s="136"/>
      <x:c r="F55" s="136"/>
      <x:c r="G55" s="136"/>
      <x:c r="H55" s="136"/>
      <x:c r="I55" s="136"/>
      <x:c r="J55" s="136"/>
      <x:c r="K55" s="136"/>
      <x:c r="L55" s="136"/>
      <x:c r="M55" s="136"/>
      <x:c r="N55" s="136"/>
      <x:c r="O55" s="136"/>
      <x:c r="P55" s="136"/>
      <x:c r="Q55" s="136"/>
      <x:c r="R55" s="136"/>
      <x:c r="S55" s="136"/>
      <x:c r="T55" s="136"/>
      <x:c r="U55" s="136"/>
      <x:c r="V55" s="136"/>
      <x:c r="W55" s="136"/>
      <x:c r="X55" s="136"/>
      <x:c r="Y55" s="136"/>
      <x:c r="Z55" s="136"/>
    </x:row>
    <x:row r="56">
      <x:c r="A56" s="136"/>
      <x:c r="B56" s="136"/>
      <x:c r="C56" s="136"/>
      <x:c r="D56" s="136"/>
      <x:c r="E56" s="136"/>
      <x:c r="F56" s="136"/>
      <x:c r="G56" s="136"/>
      <x:c r="H56" s="136"/>
      <x:c r="I56" s="136"/>
      <x:c r="J56" s="136"/>
      <x:c r="K56" s="136"/>
      <x:c r="L56" s="136"/>
      <x:c r="M56" s="136"/>
      <x:c r="N56" s="136"/>
      <x:c r="O56" s="136"/>
      <x:c r="P56" s="136"/>
      <x:c r="Q56" s="136"/>
      <x:c r="R56" s="136"/>
      <x:c r="S56" s="136"/>
      <x:c r="T56" s="136"/>
      <x:c r="U56" s="136"/>
      <x:c r="V56" s="136"/>
      <x:c r="W56" s="136"/>
      <x:c r="X56" s="136"/>
      <x:c r="Y56" s="136"/>
      <x:c r="Z56" s="136"/>
    </x:row>
    <x:row r="57">
      <x:c r="A57" s="136"/>
      <x:c r="B57" s="136"/>
      <x:c r="C57" s="136"/>
      <x:c r="D57" s="136"/>
      <x:c r="E57" s="136"/>
      <x:c r="F57" s="136"/>
      <x:c r="G57" s="136"/>
      <x:c r="H57" s="136"/>
      <x:c r="I57" s="136"/>
      <x:c r="J57" s="136"/>
      <x:c r="K57" s="136"/>
      <x:c r="L57" s="136"/>
      <x:c r="M57" s="136"/>
      <x:c r="N57" s="136"/>
      <x:c r="O57" s="136"/>
      <x:c r="P57" s="136"/>
      <x:c r="Q57" s="136"/>
      <x:c r="R57" s="136"/>
      <x:c r="S57" s="136"/>
      <x:c r="T57" s="136"/>
      <x:c r="U57" s="136"/>
      <x:c r="V57" s="136"/>
      <x:c r="W57" s="136"/>
      <x:c r="X57" s="136"/>
      <x:c r="Y57" s="136"/>
      <x:c r="Z57" s="136"/>
    </x:row>
    <x:row r="58">
      <x:c r="A58" s="136"/>
      <x:c r="B58" s="136"/>
      <x:c r="C58" s="136"/>
      <x:c r="D58" s="136"/>
      <x:c r="E58" s="136"/>
      <x:c r="F58" s="136"/>
      <x:c r="G58" s="136"/>
      <x:c r="H58" s="136"/>
      <x:c r="I58" s="136"/>
      <x:c r="J58" s="136"/>
      <x:c r="K58" s="136"/>
      <x:c r="L58" s="136"/>
      <x:c r="M58" s="136"/>
      <x:c r="N58" s="136"/>
      <x:c r="O58" s="136"/>
      <x:c r="P58" s="136"/>
      <x:c r="Q58" s="136"/>
      <x:c r="R58" s="136"/>
      <x:c r="S58" s="136"/>
      <x:c r="T58" s="136"/>
      <x:c r="U58" s="136"/>
      <x:c r="V58" s="136"/>
      <x:c r="W58" s="136"/>
      <x:c r="X58" s="136"/>
      <x:c r="Y58" s="136"/>
      <x:c r="Z58" s="136"/>
    </x:row>
    <x:row r="59">
      <x:c r="A59" s="136"/>
      <x:c r="B59" s="136"/>
      <x:c r="C59" s="136"/>
      <x:c r="D59" s="136"/>
      <x:c r="E59" s="136"/>
      <x:c r="F59" s="136"/>
      <x:c r="G59" s="136"/>
      <x:c r="H59" s="136"/>
      <x:c r="I59" s="136"/>
      <x:c r="J59" s="136"/>
      <x:c r="K59" s="136"/>
      <x:c r="L59" s="136"/>
      <x:c r="M59" s="136"/>
      <x:c r="N59" s="136"/>
      <x:c r="O59" s="136"/>
      <x:c r="P59" s="136"/>
      <x:c r="Q59" s="136"/>
      <x:c r="R59" s="136"/>
      <x:c r="S59" s="136"/>
      <x:c r="T59" s="136"/>
      <x:c r="U59" s="136"/>
      <x:c r="V59" s="136"/>
      <x:c r="W59" s="136"/>
      <x:c r="X59" s="136"/>
      <x:c r="Y59" s="136"/>
      <x:c r="Z59" s="136"/>
    </x:row>
    <x:row r="60">
      <x:c r="A60" s="136"/>
      <x:c r="B60" s="136"/>
      <x:c r="C60" s="136"/>
      <x:c r="D60" s="136"/>
      <x:c r="E60" s="136"/>
      <x:c r="F60" s="136"/>
      <x:c r="G60" s="136"/>
      <x:c r="H60" s="136"/>
      <x:c r="I60" s="136"/>
      <x:c r="J60" s="136"/>
      <x:c r="K60" s="136"/>
      <x:c r="L60" s="136"/>
      <x:c r="M60" s="136"/>
      <x:c r="N60" s="136"/>
      <x:c r="O60" s="136"/>
      <x:c r="P60" s="136"/>
      <x:c r="Q60" s="136"/>
      <x:c r="R60" s="136"/>
      <x:c r="S60" s="136"/>
      <x:c r="T60" s="136"/>
      <x:c r="U60" s="136"/>
      <x:c r="V60" s="136"/>
      <x:c r="W60" s="136"/>
      <x:c r="X60" s="136"/>
      <x:c r="Y60" s="136"/>
      <x:c r="Z60" s="136"/>
    </x:row>
    <x:row r="61">
      <x:c r="A61" s="136"/>
      <x:c r="B61" s="136"/>
      <x:c r="C61" s="136"/>
      <x:c r="D61" s="136"/>
      <x:c r="E61" s="136"/>
      <x:c r="F61" s="136"/>
      <x:c r="G61" s="136"/>
      <x:c r="H61" s="136"/>
      <x:c r="I61" s="136"/>
      <x:c r="J61" s="136"/>
      <x:c r="K61" s="136"/>
      <x:c r="L61" s="136"/>
      <x:c r="M61" s="136"/>
      <x:c r="N61" s="136"/>
      <x:c r="O61" s="136"/>
      <x:c r="P61" s="136"/>
      <x:c r="Q61" s="136"/>
      <x:c r="R61" s="136"/>
      <x:c r="S61" s="136"/>
      <x:c r="T61" s="136"/>
      <x:c r="U61" s="136"/>
      <x:c r="V61" s="136"/>
      <x:c r="W61" s="136"/>
      <x:c r="X61" s="136"/>
      <x:c r="Y61" s="136"/>
      <x:c r="Z61" s="136"/>
    </x:row>
    <x:row r="62">
      <x:c r="A62" s="136"/>
      <x:c r="B62" s="136"/>
      <x:c r="C62" s="136"/>
      <x:c r="D62" s="136"/>
      <x:c r="E62" s="136"/>
      <x:c r="F62" s="136"/>
      <x:c r="G62" s="136"/>
      <x:c r="H62" s="136"/>
      <x:c r="I62" s="136"/>
      <x:c r="J62" s="136"/>
      <x:c r="K62" s="136"/>
      <x:c r="L62" s="136"/>
      <x:c r="M62" s="136"/>
      <x:c r="N62" s="136"/>
      <x:c r="O62" s="136"/>
      <x:c r="P62" s="136"/>
      <x:c r="Q62" s="136"/>
      <x:c r="R62" s="136"/>
      <x:c r="S62" s="136"/>
      <x:c r="T62" s="136"/>
      <x:c r="U62" s="136"/>
      <x:c r="V62" s="136"/>
      <x:c r="W62" s="136"/>
      <x:c r="X62" s="136"/>
      <x:c r="Y62" s="136"/>
      <x:c r="Z62" s="136"/>
    </x:row>
    <x:row r="63">
      <x:c r="A63" s="136"/>
      <x:c r="B63" s="136"/>
      <x:c r="C63" s="136"/>
      <x:c r="D63" s="136"/>
      <x:c r="E63" s="136"/>
      <x:c r="F63" s="136"/>
      <x:c r="G63" s="136"/>
      <x:c r="H63" s="136"/>
      <x:c r="I63" s="136"/>
      <x:c r="J63" s="136"/>
      <x:c r="K63" s="136"/>
      <x:c r="L63" s="136"/>
      <x:c r="M63" s="136"/>
      <x:c r="N63" s="136"/>
      <x:c r="O63" s="136"/>
      <x:c r="P63" s="136"/>
      <x:c r="Q63" s="136"/>
      <x:c r="R63" s="136"/>
      <x:c r="S63" s="136"/>
      <x:c r="T63" s="136"/>
      <x:c r="U63" s="136"/>
      <x:c r="V63" s="136"/>
      <x:c r="W63" s="136"/>
      <x:c r="X63" s="136"/>
      <x:c r="Y63" s="136"/>
      <x:c r="Z63" s="136"/>
    </x:row>
    <x:row r="64">
      <x:c r="A64" s="136"/>
      <x:c r="B64" s="136"/>
      <x:c r="C64" s="136"/>
      <x:c r="D64" s="136"/>
      <x:c r="E64" s="136"/>
      <x:c r="F64" s="136"/>
      <x:c r="G64" s="136"/>
      <x:c r="H64" s="136"/>
      <x:c r="I64" s="136"/>
      <x:c r="J64" s="136"/>
      <x:c r="K64" s="136"/>
      <x:c r="L64" s="136"/>
      <x:c r="M64" s="136"/>
      <x:c r="N64" s="136"/>
      <x:c r="O64" s="136"/>
      <x:c r="P64" s="136"/>
      <x:c r="Q64" s="136"/>
      <x:c r="R64" s="136"/>
      <x:c r="S64" s="136"/>
      <x:c r="T64" s="136"/>
      <x:c r="U64" s="136"/>
      <x:c r="V64" s="136"/>
      <x:c r="W64" s="136"/>
      <x:c r="X64" s="136"/>
      <x:c r="Y64" s="136"/>
      <x:c r="Z64" s="136"/>
    </x:row>
    <x:row r="65">
      <x:c r="A65" s="136"/>
      <x:c r="B65" s="136"/>
      <x:c r="C65" s="136"/>
      <x:c r="D65" s="136"/>
      <x:c r="E65" s="136"/>
      <x:c r="F65" s="136"/>
      <x:c r="G65" s="136"/>
      <x:c r="H65" s="136"/>
      <x:c r="I65" s="136"/>
      <x:c r="J65" s="136"/>
      <x:c r="K65" s="136"/>
      <x:c r="L65" s="136"/>
      <x:c r="M65" s="136"/>
      <x:c r="N65" s="136"/>
      <x:c r="O65" s="136"/>
      <x:c r="P65" s="136"/>
      <x:c r="Q65" s="136"/>
      <x:c r="R65" s="136"/>
      <x:c r="S65" s="136"/>
      <x:c r="T65" s="136"/>
      <x:c r="U65" s="136"/>
      <x:c r="V65" s="136"/>
      <x:c r="W65" s="136"/>
      <x:c r="X65" s="136"/>
      <x:c r="Y65" s="136"/>
      <x:c r="Z65" s="136"/>
    </x:row>
    <x:row r="66">
      <x:c r="A66" s="136"/>
      <x:c r="B66" s="136"/>
      <x:c r="C66" s="136"/>
      <x:c r="D66" s="136"/>
      <x:c r="E66" s="136"/>
      <x:c r="F66" s="136"/>
      <x:c r="G66" s="136"/>
      <x:c r="H66" s="136"/>
      <x:c r="I66" s="136"/>
      <x:c r="J66" s="136"/>
      <x:c r="K66" s="136"/>
      <x:c r="L66" s="136"/>
      <x:c r="M66" s="136"/>
      <x:c r="N66" s="136"/>
      <x:c r="O66" s="136"/>
      <x:c r="P66" s="136"/>
      <x:c r="Q66" s="136"/>
      <x:c r="R66" s="136"/>
      <x:c r="S66" s="136"/>
      <x:c r="T66" s="136"/>
      <x:c r="U66" s="136"/>
      <x:c r="V66" s="136"/>
      <x:c r="W66" s="136"/>
      <x:c r="X66" s="136"/>
      <x:c r="Y66" s="136"/>
      <x:c r="Z66" s="136"/>
    </x:row>
    <x:row r="67">
      <x:c r="A67" s="136"/>
      <x:c r="B67" s="136"/>
      <x:c r="C67" s="136"/>
      <x:c r="D67" s="136"/>
      <x:c r="E67" s="136"/>
      <x:c r="F67" s="136"/>
      <x:c r="G67" s="136"/>
      <x:c r="H67" s="136"/>
      <x:c r="I67" s="136"/>
      <x:c r="J67" s="136"/>
      <x:c r="K67" s="136"/>
      <x:c r="L67" s="136"/>
      <x:c r="M67" s="136"/>
      <x:c r="N67" s="136"/>
      <x:c r="O67" s="136"/>
      <x:c r="P67" s="136"/>
      <x:c r="Q67" s="136"/>
      <x:c r="R67" s="136"/>
      <x:c r="S67" s="136"/>
      <x:c r="T67" s="136"/>
      <x:c r="U67" s="136"/>
      <x:c r="V67" s="136"/>
      <x:c r="W67" s="136"/>
      <x:c r="X67" s="136"/>
      <x:c r="Y67" s="136"/>
      <x:c r="Z67" s="136"/>
    </x:row>
    <x:row r="68">
      <x:c r="A68" s="136"/>
      <x:c r="B68" s="136"/>
      <x:c r="C68" s="136"/>
      <x:c r="D68" s="136"/>
      <x:c r="E68" s="136"/>
      <x:c r="F68" s="136"/>
      <x:c r="G68" s="136"/>
      <x:c r="H68" s="136"/>
      <x:c r="I68" s="136"/>
      <x:c r="J68" s="136"/>
      <x:c r="K68" s="136"/>
      <x:c r="L68" s="136"/>
      <x:c r="M68" s="136"/>
      <x:c r="N68" s="136"/>
      <x:c r="O68" s="136"/>
      <x:c r="P68" s="136"/>
      <x:c r="Q68" s="136"/>
      <x:c r="R68" s="136"/>
      <x:c r="S68" s="136"/>
      <x:c r="T68" s="136"/>
      <x:c r="U68" s="136"/>
      <x:c r="V68" s="136"/>
      <x:c r="W68" s="136"/>
      <x:c r="X68" s="136"/>
      <x:c r="Y68" s="136"/>
      <x:c r="Z68" s="136"/>
    </x:row>
    <x:row r="69">
      <x:c r="A69" s="136"/>
      <x:c r="B69" s="136"/>
      <x:c r="C69" s="136"/>
      <x:c r="D69" s="136"/>
      <x:c r="E69" s="136"/>
      <x:c r="F69" s="136"/>
      <x:c r="G69" s="136"/>
      <x:c r="H69" s="136"/>
      <x:c r="I69" s="136"/>
      <x:c r="J69" s="136"/>
      <x:c r="K69" s="136"/>
      <x:c r="L69" s="136"/>
      <x:c r="M69" s="136"/>
      <x:c r="N69" s="136"/>
      <x:c r="O69" s="136"/>
      <x:c r="P69" s="136"/>
      <x:c r="Q69" s="136"/>
      <x:c r="R69" s="136"/>
      <x:c r="S69" s="136"/>
      <x:c r="T69" s="136"/>
      <x:c r="U69" s="136"/>
      <x:c r="V69" s="136"/>
      <x:c r="W69" s="136"/>
      <x:c r="X69" s="136"/>
      <x:c r="Y69" s="136"/>
      <x:c r="Z69" s="136"/>
    </x:row>
    <x:row r="70">
      <x:c r="A70" s="136"/>
      <x:c r="B70" s="136"/>
      <x:c r="C70" s="136"/>
      <x:c r="D70" s="136"/>
      <x:c r="E70" s="136"/>
      <x:c r="F70" s="136"/>
      <x:c r="G70" s="136"/>
      <x:c r="H70" s="136"/>
      <x:c r="I70" s="136"/>
      <x:c r="J70" s="136"/>
      <x:c r="K70" s="136"/>
      <x:c r="L70" s="136"/>
      <x:c r="M70" s="136"/>
      <x:c r="N70" s="136"/>
      <x:c r="O70" s="136"/>
      <x:c r="P70" s="136"/>
      <x:c r="Q70" s="136"/>
      <x:c r="R70" s="136"/>
      <x:c r="S70" s="136"/>
      <x:c r="T70" s="136"/>
      <x:c r="U70" s="136"/>
      <x:c r="V70" s="136"/>
      <x:c r="W70" s="136"/>
      <x:c r="X70" s="136"/>
      <x:c r="Y70" s="136"/>
      <x:c r="Z70" s="136"/>
    </x:row>
    <x:row r="71">
      <x:c r="A71" s="136"/>
      <x:c r="B71" s="136"/>
      <x:c r="C71" s="136"/>
      <x:c r="D71" s="136"/>
      <x:c r="E71" s="136"/>
      <x:c r="F71" s="136"/>
      <x:c r="G71" s="136"/>
      <x:c r="H71" s="136"/>
      <x:c r="I71" s="136"/>
      <x:c r="J71" s="136"/>
      <x:c r="K71" s="136"/>
      <x:c r="L71" s="136"/>
      <x:c r="M71" s="136"/>
      <x:c r="N71" s="136"/>
      <x:c r="O71" s="136"/>
      <x:c r="P71" s="136"/>
      <x:c r="Q71" s="136"/>
      <x:c r="R71" s="136"/>
      <x:c r="S71" s="136"/>
      <x:c r="T71" s="136"/>
      <x:c r="U71" s="136"/>
      <x:c r="V71" s="136"/>
      <x:c r="W71" s="136"/>
      <x:c r="X71" s="136"/>
      <x:c r="Y71" s="136"/>
      <x:c r="Z71" s="136"/>
    </x:row>
    <x:row r="72">
      <x:c r="A72" s="136"/>
      <x:c r="B72" s="136"/>
      <x:c r="C72" s="136"/>
      <x:c r="D72" s="136"/>
      <x:c r="E72" s="136"/>
      <x:c r="F72" s="136"/>
      <x:c r="G72" s="136"/>
      <x:c r="H72" s="136"/>
      <x:c r="I72" s="136"/>
      <x:c r="J72" s="136"/>
      <x:c r="K72" s="136"/>
      <x:c r="L72" s="136"/>
      <x:c r="M72" s="136"/>
      <x:c r="N72" s="136"/>
      <x:c r="O72" s="136"/>
      <x:c r="P72" s="136"/>
      <x:c r="Q72" s="136"/>
      <x:c r="R72" s="136"/>
      <x:c r="S72" s="136"/>
      <x:c r="T72" s="136"/>
      <x:c r="U72" s="136"/>
      <x:c r="V72" s="136"/>
      <x:c r="W72" s="136"/>
      <x:c r="X72" s="136"/>
      <x:c r="Y72" s="136"/>
      <x:c r="Z72" s="136"/>
    </x:row>
    <x:row r="73">
      <x:c r="A73" s="136"/>
      <x:c r="B73" s="136"/>
      <x:c r="C73" s="136"/>
      <x:c r="D73" s="136"/>
      <x:c r="E73" s="136"/>
      <x:c r="F73" s="136"/>
      <x:c r="G73" s="136"/>
      <x:c r="H73" s="136"/>
      <x:c r="I73" s="136"/>
      <x:c r="J73" s="136"/>
      <x:c r="K73" s="136"/>
      <x:c r="L73" s="136"/>
      <x:c r="M73" s="136"/>
      <x:c r="N73" s="136"/>
      <x:c r="O73" s="136"/>
      <x:c r="P73" s="136"/>
      <x:c r="Q73" s="136"/>
      <x:c r="R73" s="136"/>
      <x:c r="S73" s="136"/>
      <x:c r="T73" s="136"/>
      <x:c r="U73" s="136"/>
      <x:c r="V73" s="136"/>
      <x:c r="W73" s="136"/>
      <x:c r="X73" s="136"/>
      <x:c r="Y73" s="136"/>
      <x:c r="Z73" s="136"/>
    </x:row>
    <x:row r="74">
      <x:c r="A74" s="136"/>
      <x:c r="B74" s="136"/>
      <x:c r="C74" s="136"/>
      <x:c r="D74" s="136"/>
      <x:c r="E74" s="136"/>
      <x:c r="F74" s="136"/>
      <x:c r="G74" s="136"/>
      <x:c r="H74" s="136"/>
      <x:c r="I74" s="136"/>
      <x:c r="J74" s="136"/>
      <x:c r="K74" s="136"/>
      <x:c r="L74" s="136"/>
      <x:c r="M74" s="136"/>
      <x:c r="N74" s="136"/>
      <x:c r="O74" s="136"/>
      <x:c r="P74" s="136"/>
      <x:c r="Q74" s="136"/>
      <x:c r="R74" s="136"/>
      <x:c r="S74" s="136"/>
      <x:c r="T74" s="136"/>
      <x:c r="U74" s="136"/>
      <x:c r="V74" s="136"/>
      <x:c r="W74" s="136"/>
      <x:c r="X74" s="136"/>
      <x:c r="Y74" s="136"/>
      <x:c r="Z74" s="136"/>
    </x:row>
    <x:row r="75">
      <x:c r="A75" s="136"/>
      <x:c r="B75" s="136"/>
      <x:c r="C75" s="136"/>
      <x:c r="D75" s="136"/>
      <x:c r="E75" s="136"/>
      <x:c r="F75" s="136"/>
      <x:c r="G75" s="136"/>
      <x:c r="H75" s="136"/>
      <x:c r="I75" s="136"/>
      <x:c r="J75" s="136"/>
      <x:c r="K75" s="136"/>
      <x:c r="L75" s="136"/>
      <x:c r="M75" s="136"/>
      <x:c r="N75" s="136"/>
      <x:c r="O75" s="136"/>
      <x:c r="P75" s="136"/>
      <x:c r="Q75" s="136"/>
      <x:c r="R75" s="136"/>
      <x:c r="S75" s="136"/>
      <x:c r="T75" s="136"/>
      <x:c r="U75" s="136"/>
      <x:c r="V75" s="136"/>
      <x:c r="W75" s="136"/>
      <x:c r="X75" s="136"/>
      <x:c r="Y75" s="136"/>
      <x:c r="Z75" s="136"/>
    </x:row>
    <x:row r="76">
      <x:c r="A76" s="136"/>
      <x:c r="B76" s="136"/>
      <x:c r="C76" s="136"/>
      <x:c r="D76" s="136"/>
      <x:c r="E76" s="136"/>
      <x:c r="F76" s="136"/>
      <x:c r="G76" s="136"/>
      <x:c r="H76" s="136"/>
      <x:c r="I76" s="136"/>
      <x:c r="J76" s="136"/>
      <x:c r="K76" s="136"/>
      <x:c r="L76" s="136"/>
      <x:c r="M76" s="136"/>
      <x:c r="N76" s="136"/>
      <x:c r="O76" s="136"/>
      <x:c r="P76" s="136"/>
      <x:c r="Q76" s="136"/>
      <x:c r="R76" s="136"/>
      <x:c r="S76" s="136"/>
      <x:c r="T76" s="136"/>
      <x:c r="U76" s="136"/>
      <x:c r="V76" s="136"/>
      <x:c r="W76" s="136"/>
      <x:c r="X76" s="136"/>
      <x:c r="Y76" s="136"/>
      <x:c r="Z76" s="136"/>
    </x:row>
    <x:row r="77">
      <x:c r="A77" s="136"/>
      <x:c r="B77" s="136"/>
      <x:c r="C77" s="136"/>
      <x:c r="D77" s="136"/>
      <x:c r="E77" s="136"/>
      <x:c r="F77" s="136"/>
      <x:c r="G77" s="136"/>
      <x:c r="H77" s="136"/>
      <x:c r="I77" s="136"/>
      <x:c r="J77" s="136"/>
      <x:c r="K77" s="136"/>
      <x:c r="L77" s="136"/>
      <x:c r="M77" s="136"/>
      <x:c r="N77" s="136"/>
      <x:c r="O77" s="136"/>
      <x:c r="P77" s="136"/>
      <x:c r="Q77" s="136"/>
      <x:c r="R77" s="136"/>
      <x:c r="S77" s="136"/>
      <x:c r="T77" s="136"/>
      <x:c r="U77" s="136"/>
      <x:c r="V77" s="136"/>
      <x:c r="W77" s="136"/>
      <x:c r="X77" s="136"/>
      <x:c r="Y77" s="136"/>
      <x:c r="Z77" s="136"/>
    </x:row>
    <x:row r="78">
      <x:c r="A78" s="136"/>
      <x:c r="B78" s="136"/>
      <x:c r="C78" s="136"/>
      <x:c r="D78" s="136"/>
      <x:c r="E78" s="136"/>
      <x:c r="F78" s="136"/>
      <x:c r="G78" s="136"/>
      <x:c r="H78" s="136"/>
      <x:c r="I78" s="136"/>
      <x:c r="J78" s="136"/>
      <x:c r="K78" s="136"/>
      <x:c r="L78" s="136"/>
      <x:c r="M78" s="136"/>
      <x:c r="N78" s="136"/>
      <x:c r="O78" s="136"/>
      <x:c r="P78" s="136"/>
      <x:c r="Q78" s="136"/>
      <x:c r="R78" s="136"/>
      <x:c r="S78" s="136"/>
      <x:c r="T78" s="136"/>
      <x:c r="U78" s="136"/>
      <x:c r="V78" s="136"/>
      <x:c r="W78" s="136"/>
      <x:c r="X78" s="136"/>
      <x:c r="Y78" s="136"/>
      <x:c r="Z78" s="136"/>
    </x:row>
    <x:row r="79">
      <x:c r="A79" s="136"/>
      <x:c r="B79" s="136"/>
      <x:c r="C79" s="136"/>
      <x:c r="D79" s="136"/>
      <x:c r="E79" s="136"/>
      <x:c r="F79" s="136"/>
      <x:c r="G79" s="136"/>
      <x:c r="H79" s="136"/>
      <x:c r="I79" s="136"/>
      <x:c r="J79" s="136"/>
      <x:c r="K79" s="136"/>
      <x:c r="L79" s="136"/>
      <x:c r="M79" s="136"/>
      <x:c r="N79" s="136"/>
      <x:c r="O79" s="136"/>
      <x:c r="P79" s="136"/>
      <x:c r="Q79" s="136"/>
      <x:c r="R79" s="136"/>
      <x:c r="S79" s="136"/>
      <x:c r="T79" s="136"/>
      <x:c r="U79" s="136"/>
      <x:c r="V79" s="136"/>
      <x:c r="W79" s="136"/>
      <x:c r="X79" s="136"/>
      <x:c r="Y79" s="136"/>
      <x:c r="Z79" s="136"/>
    </x:row>
    <x:row r="80">
      <x:c r="A80" s="136"/>
      <x:c r="B80" s="136"/>
      <x:c r="C80" s="136"/>
      <x:c r="D80" s="136"/>
      <x:c r="E80" s="136"/>
      <x:c r="F80" s="136"/>
      <x:c r="G80" s="136"/>
      <x:c r="H80" s="136"/>
      <x:c r="I80" s="136"/>
      <x:c r="J80" s="136"/>
      <x:c r="K80" s="136"/>
      <x:c r="L80" s="136"/>
      <x:c r="M80" s="136"/>
      <x:c r="N80" s="136"/>
      <x:c r="O80" s="136"/>
      <x:c r="P80" s="136"/>
      <x:c r="Q80" s="136"/>
      <x:c r="R80" s="136"/>
      <x:c r="S80" s="136"/>
      <x:c r="T80" s="136"/>
      <x:c r="U80" s="136"/>
      <x:c r="V80" s="136"/>
      <x:c r="W80" s="136"/>
      <x:c r="X80" s="136"/>
      <x:c r="Y80" s="136"/>
      <x:c r="Z80" s="136"/>
    </x:row>
    <x:row r="81">
      <x:c r="A81" s="136"/>
      <x:c r="B81" s="136"/>
      <x:c r="C81" s="136"/>
      <x:c r="D81" s="136"/>
      <x:c r="E81" s="136"/>
      <x:c r="F81" s="136"/>
      <x:c r="G81" s="136"/>
      <x:c r="H81" s="136"/>
      <x:c r="I81" s="136"/>
      <x:c r="J81" s="136"/>
      <x:c r="K81" s="136"/>
      <x:c r="L81" s="136"/>
      <x:c r="M81" s="136"/>
      <x:c r="N81" s="136"/>
      <x:c r="O81" s="136"/>
      <x:c r="P81" s="136"/>
      <x:c r="Q81" s="136"/>
      <x:c r="R81" s="136"/>
      <x:c r="S81" s="136"/>
      <x:c r="T81" s="136"/>
      <x:c r="U81" s="136"/>
      <x:c r="V81" s="136"/>
      <x:c r="W81" s="136"/>
      <x:c r="X81" s="136"/>
      <x:c r="Y81" s="136"/>
      <x:c r="Z81" s="136"/>
    </x:row>
    <x:row r="82">
      <x:c r="A82" s="136"/>
      <x:c r="B82" s="136"/>
      <x:c r="C82" s="136"/>
      <x:c r="D82" s="136"/>
      <x:c r="E82" s="136"/>
      <x:c r="F82" s="136"/>
      <x:c r="G82" s="136"/>
      <x:c r="H82" s="136"/>
      <x:c r="I82" s="136"/>
      <x:c r="J82" s="136"/>
      <x:c r="K82" s="136"/>
      <x:c r="L82" s="136"/>
      <x:c r="M82" s="136"/>
      <x:c r="N82" s="136"/>
      <x:c r="O82" s="136"/>
      <x:c r="P82" s="136"/>
      <x:c r="Q82" s="136"/>
      <x:c r="R82" s="136"/>
      <x:c r="S82" s="136"/>
      <x:c r="T82" s="136"/>
      <x:c r="U82" s="136"/>
      <x:c r="V82" s="136"/>
      <x:c r="W82" s="136"/>
      <x:c r="X82" s="136"/>
      <x:c r="Y82" s="136"/>
      <x:c r="Z82" s="136"/>
    </x:row>
    <x:row r="83">
      <x:c r="A83" s="136"/>
      <x:c r="B83" s="136"/>
      <x:c r="C83" s="136"/>
      <x:c r="D83" s="136"/>
      <x:c r="E83" s="136"/>
      <x:c r="F83" s="136"/>
      <x:c r="G83" s="136"/>
      <x:c r="H83" s="136"/>
      <x:c r="I83" s="136"/>
      <x:c r="J83" s="136"/>
      <x:c r="K83" s="136"/>
      <x:c r="L83" s="136"/>
      <x:c r="M83" s="136"/>
      <x:c r="N83" s="136"/>
      <x:c r="O83" s="136"/>
      <x:c r="P83" s="136"/>
      <x:c r="Q83" s="136"/>
      <x:c r="R83" s="136"/>
      <x:c r="S83" s="136"/>
      <x:c r="T83" s="136"/>
      <x:c r="U83" s="136"/>
      <x:c r="V83" s="136"/>
      <x:c r="W83" s="136"/>
      <x:c r="X83" s="136"/>
      <x:c r="Y83" s="136"/>
      <x:c r="Z83" s="136"/>
    </x:row>
    <x:row r="84">
      <x:c r="A84" s="136"/>
      <x:c r="B84" s="136"/>
      <x:c r="C84" s="136"/>
      <x:c r="D84" s="136"/>
      <x:c r="E84" s="136"/>
      <x:c r="F84" s="136"/>
      <x:c r="G84" s="136"/>
      <x:c r="H84" s="136"/>
      <x:c r="I84" s="136"/>
      <x:c r="J84" s="136"/>
      <x:c r="K84" s="136"/>
      <x:c r="L84" s="136"/>
      <x:c r="M84" s="136"/>
      <x:c r="N84" s="136"/>
      <x:c r="O84" s="136"/>
      <x:c r="P84" s="136"/>
      <x:c r="Q84" s="136"/>
      <x:c r="R84" s="136"/>
      <x:c r="S84" s="136"/>
      <x:c r="T84" s="136"/>
      <x:c r="U84" s="136"/>
      <x:c r="V84" s="136"/>
      <x:c r="W84" s="136"/>
      <x:c r="X84" s="136"/>
      <x:c r="Y84" s="136"/>
      <x:c r="Z84" s="136"/>
    </x:row>
    <x:row r="85">
      <x:c r="A85" s="136"/>
      <x:c r="B85" s="136"/>
      <x:c r="C85" s="136"/>
      <x:c r="D85" s="136"/>
      <x:c r="E85" s="136"/>
      <x:c r="F85" s="136"/>
      <x:c r="G85" s="136"/>
      <x:c r="H85" s="136"/>
      <x:c r="I85" s="136"/>
      <x:c r="J85" s="136"/>
      <x:c r="K85" s="136"/>
      <x:c r="L85" s="136"/>
      <x:c r="M85" s="136"/>
      <x:c r="N85" s="136"/>
      <x:c r="O85" s="136"/>
      <x:c r="P85" s="136"/>
      <x:c r="Q85" s="136"/>
      <x:c r="R85" s="136"/>
      <x:c r="S85" s="136"/>
      <x:c r="T85" s="136"/>
      <x:c r="U85" s="136"/>
      <x:c r="V85" s="136"/>
      <x:c r="W85" s="136"/>
      <x:c r="X85" s="136"/>
      <x:c r="Y85" s="136"/>
      <x:c r="Z85" s="136"/>
    </x:row>
    <x:row r="86">
      <x:c r="A86" s="136"/>
      <x:c r="B86" s="136"/>
      <x:c r="C86" s="136"/>
      <x:c r="D86" s="136"/>
      <x:c r="E86" s="136"/>
      <x:c r="F86" s="136"/>
      <x:c r="G86" s="136"/>
      <x:c r="H86" s="136"/>
      <x:c r="I86" s="136"/>
      <x:c r="J86" s="136"/>
      <x:c r="K86" s="136"/>
      <x:c r="L86" s="136"/>
      <x:c r="M86" s="136"/>
      <x:c r="N86" s="136"/>
      <x:c r="O86" s="136"/>
      <x:c r="P86" s="136"/>
      <x:c r="Q86" s="136"/>
      <x:c r="R86" s="136"/>
      <x:c r="S86" s="136"/>
      <x:c r="T86" s="136"/>
      <x:c r="U86" s="136"/>
      <x:c r="V86" s="136"/>
      <x:c r="W86" s="136"/>
      <x:c r="X86" s="136"/>
      <x:c r="Y86" s="136"/>
      <x:c r="Z86" s="136"/>
    </x:row>
    <x:row r="87">
      <x:c r="A87" s="136"/>
      <x:c r="B87" s="136"/>
      <x:c r="C87" s="136"/>
      <x:c r="D87" s="136"/>
      <x:c r="E87" s="136"/>
      <x:c r="F87" s="136"/>
      <x:c r="G87" s="136"/>
      <x:c r="H87" s="136"/>
      <x:c r="I87" s="136"/>
      <x:c r="J87" s="136"/>
      <x:c r="K87" s="136"/>
      <x:c r="L87" s="136"/>
      <x:c r="M87" s="136"/>
      <x:c r="N87" s="136"/>
      <x:c r="O87" s="136"/>
      <x:c r="P87" s="136"/>
      <x:c r="Q87" s="136"/>
      <x:c r="R87" s="136"/>
      <x:c r="S87" s="136"/>
      <x:c r="T87" s="136"/>
      <x:c r="U87" s="136"/>
      <x:c r="V87" s="136"/>
      <x:c r="W87" s="136"/>
      <x:c r="X87" s="136"/>
      <x:c r="Y87" s="136"/>
      <x:c r="Z87" s="136"/>
    </x:row>
    <x:row r="88">
      <x:c r="A88" s="136"/>
      <x:c r="B88" s="136"/>
      <x:c r="C88" s="136"/>
      <x:c r="D88" s="136"/>
      <x:c r="E88" s="136"/>
      <x:c r="F88" s="136"/>
      <x:c r="G88" s="136"/>
      <x:c r="H88" s="136"/>
      <x:c r="I88" s="136"/>
      <x:c r="J88" s="136"/>
      <x:c r="K88" s="136"/>
      <x:c r="L88" s="136"/>
      <x:c r="M88" s="136"/>
      <x:c r="N88" s="136"/>
      <x:c r="O88" s="136"/>
      <x:c r="P88" s="136"/>
      <x:c r="Q88" s="136"/>
      <x:c r="R88" s="136"/>
      <x:c r="S88" s="136"/>
      <x:c r="T88" s="136"/>
      <x:c r="U88" s="136"/>
      <x:c r="V88" s="136"/>
      <x:c r="W88" s="136"/>
      <x:c r="X88" s="136"/>
      <x:c r="Y88" s="136"/>
      <x:c r="Z88" s="136"/>
    </x:row>
    <x:row r="89">
      <x:c r="A89" s="136"/>
      <x:c r="B89" s="136"/>
      <x:c r="C89" s="136"/>
      <x:c r="D89" s="136"/>
      <x:c r="E89" s="136"/>
      <x:c r="F89" s="136"/>
      <x:c r="G89" s="136"/>
      <x:c r="H89" s="136"/>
      <x:c r="I89" s="136"/>
      <x:c r="J89" s="136"/>
      <x:c r="K89" s="136"/>
      <x:c r="L89" s="136"/>
      <x:c r="M89" s="136"/>
      <x:c r="N89" s="136"/>
      <x:c r="O89" s="136"/>
      <x:c r="P89" s="136"/>
      <x:c r="Q89" s="136"/>
      <x:c r="R89" s="136"/>
      <x:c r="S89" s="136"/>
      <x:c r="T89" s="136"/>
      <x:c r="U89" s="136"/>
      <x:c r="V89" s="136"/>
      <x:c r="W89" s="136"/>
      <x:c r="X89" s="136"/>
      <x:c r="Y89" s="136"/>
      <x:c r="Z89" s="136"/>
    </x:row>
    <x:row r="90">
      <x:c r="A90" s="136"/>
      <x:c r="B90" s="136"/>
      <x:c r="C90" s="136"/>
      <x:c r="D90" s="136"/>
      <x:c r="E90" s="136"/>
      <x:c r="F90" s="136"/>
      <x:c r="G90" s="136"/>
      <x:c r="H90" s="136"/>
      <x:c r="I90" s="136"/>
      <x:c r="J90" s="136"/>
      <x:c r="K90" s="136"/>
      <x:c r="L90" s="136"/>
      <x:c r="M90" s="136"/>
      <x:c r="N90" s="136"/>
      <x:c r="O90" s="136"/>
      <x:c r="P90" s="136"/>
      <x:c r="Q90" s="136"/>
      <x:c r="R90" s="136"/>
      <x:c r="S90" s="136"/>
      <x:c r="T90" s="136"/>
      <x:c r="U90" s="136"/>
      <x:c r="V90" s="136"/>
      <x:c r="W90" s="136"/>
      <x:c r="X90" s="136"/>
      <x:c r="Y90" s="136"/>
      <x:c r="Z90" s="136"/>
    </x:row>
    <x:row r="91">
      <x:c r="A91" s="136"/>
      <x:c r="B91" s="136"/>
      <x:c r="C91" s="136"/>
      <x:c r="D91" s="136"/>
      <x:c r="E91" s="136"/>
      <x:c r="F91" s="136"/>
      <x:c r="G91" s="136"/>
      <x:c r="H91" s="136"/>
      <x:c r="I91" s="136"/>
      <x:c r="J91" s="136"/>
      <x:c r="K91" s="136"/>
      <x:c r="L91" s="136"/>
      <x:c r="M91" s="136"/>
      <x:c r="N91" s="136"/>
      <x:c r="O91" s="136"/>
      <x:c r="P91" s="136"/>
      <x:c r="Q91" s="136"/>
      <x:c r="R91" s="136"/>
      <x:c r="S91" s="136"/>
      <x:c r="T91" s="136"/>
      <x:c r="U91" s="136"/>
      <x:c r="V91" s="136"/>
      <x:c r="W91" s="136"/>
      <x:c r="X91" s="136"/>
      <x:c r="Y91" s="136"/>
      <x:c r="Z91" s="136"/>
    </x:row>
    <x:row r="92">
      <x:c r="A92" s="136"/>
      <x:c r="B92" s="136"/>
      <x:c r="C92" s="136"/>
      <x:c r="D92" s="136"/>
      <x:c r="E92" s="136"/>
      <x:c r="F92" s="136"/>
      <x:c r="G92" s="136"/>
      <x:c r="H92" s="136"/>
      <x:c r="I92" s="136"/>
      <x:c r="J92" s="136"/>
      <x:c r="K92" s="136"/>
      <x:c r="L92" s="136"/>
      <x:c r="M92" s="136"/>
      <x:c r="N92" s="136"/>
      <x:c r="O92" s="136"/>
      <x:c r="P92" s="136"/>
      <x:c r="Q92" s="136"/>
      <x:c r="R92" s="136"/>
      <x:c r="S92" s="136"/>
      <x:c r="T92" s="136"/>
      <x:c r="U92" s="136"/>
      <x:c r="V92" s="136"/>
      <x:c r="W92" s="136"/>
      <x:c r="X92" s="136"/>
      <x:c r="Y92" s="136"/>
      <x:c r="Z92" s="136"/>
    </x:row>
    <x:row r="93">
      <x:c r="A93" s="136"/>
      <x:c r="B93" s="136"/>
      <x:c r="C93" s="136"/>
      <x:c r="D93" s="136"/>
      <x:c r="E93" s="136"/>
      <x:c r="F93" s="136"/>
      <x:c r="G93" s="136"/>
      <x:c r="H93" s="136"/>
      <x:c r="I93" s="136"/>
      <x:c r="J93" s="136"/>
      <x:c r="K93" s="136"/>
      <x:c r="L93" s="136"/>
      <x:c r="M93" s="136"/>
      <x:c r="N93" s="136"/>
      <x:c r="O93" s="136"/>
      <x:c r="P93" s="136"/>
      <x:c r="Q93" s="136"/>
      <x:c r="R93" s="136"/>
      <x:c r="S93" s="136"/>
      <x:c r="T93" s="136"/>
      <x:c r="U93" s="136"/>
      <x:c r="V93" s="136"/>
      <x:c r="W93" s="136"/>
      <x:c r="X93" s="136"/>
      <x:c r="Y93" s="136"/>
      <x:c r="Z93" s="136"/>
    </x:row>
    <x:row r="94">
      <x:c r="A94" s="136"/>
      <x:c r="B94" s="136"/>
      <x:c r="C94" s="136"/>
      <x:c r="D94" s="136"/>
      <x:c r="E94" s="136"/>
      <x:c r="F94" s="136"/>
      <x:c r="G94" s="136"/>
      <x:c r="H94" s="136"/>
      <x:c r="I94" s="136"/>
      <x:c r="J94" s="136"/>
      <x:c r="K94" s="136"/>
      <x:c r="L94" s="136"/>
      <x:c r="M94" s="136"/>
      <x:c r="N94" s="136"/>
      <x:c r="O94" s="136"/>
      <x:c r="P94" s="136"/>
      <x:c r="Q94" s="136"/>
      <x:c r="R94" s="136"/>
      <x:c r="S94" s="136"/>
      <x:c r="T94" s="136"/>
      <x:c r="U94" s="136"/>
      <x:c r="V94" s="136"/>
      <x:c r="W94" s="136"/>
      <x:c r="X94" s="136"/>
      <x:c r="Y94" s="136"/>
      <x:c r="Z94" s="136"/>
    </x:row>
    <x:row r="95">
      <x:c r="A95" s="136"/>
      <x:c r="B95" s="136"/>
      <x:c r="C95" s="136"/>
      <x:c r="D95" s="136"/>
      <x:c r="E95" s="136"/>
      <x:c r="F95" s="136"/>
      <x:c r="G95" s="136"/>
      <x:c r="H95" s="136"/>
      <x:c r="I95" s="136"/>
      <x:c r="J95" s="136"/>
      <x:c r="K95" s="136"/>
      <x:c r="L95" s="136"/>
      <x:c r="M95" s="136"/>
      <x:c r="N95" s="136"/>
      <x:c r="O95" s="136"/>
      <x:c r="P95" s="136"/>
      <x:c r="Q95" s="136"/>
      <x:c r="R95" s="136"/>
      <x:c r="S95" s="136"/>
      <x:c r="T95" s="136"/>
      <x:c r="U95" s="136"/>
      <x:c r="V95" s="136"/>
      <x:c r="W95" s="136"/>
      <x:c r="X95" s="136"/>
      <x:c r="Y95" s="136"/>
      <x:c r="Z95" s="136"/>
    </x:row>
    <x:row r="96">
      <x:c r="A96" s="136"/>
      <x:c r="B96" s="136"/>
      <x:c r="C96" s="136"/>
      <x:c r="D96" s="136"/>
      <x:c r="E96" s="136"/>
      <x:c r="F96" s="136"/>
      <x:c r="G96" s="136"/>
      <x:c r="H96" s="136"/>
      <x:c r="I96" s="136"/>
      <x:c r="J96" s="136"/>
      <x:c r="K96" s="136"/>
      <x:c r="L96" s="136"/>
      <x:c r="M96" s="136"/>
      <x:c r="N96" s="136"/>
      <x:c r="O96" s="136"/>
      <x:c r="P96" s="136"/>
      <x:c r="Q96" s="136"/>
      <x:c r="R96" s="136"/>
      <x:c r="S96" s="136"/>
      <x:c r="T96" s="136"/>
      <x:c r="U96" s="136"/>
      <x:c r="V96" s="136"/>
      <x:c r="W96" s="136"/>
      <x:c r="X96" s="136"/>
      <x:c r="Y96" s="136"/>
      <x:c r="Z96" s="136"/>
    </x:row>
    <x:row r="97">
      <x:c r="A97" s="136"/>
      <x:c r="B97" s="136"/>
      <x:c r="C97" s="136"/>
      <x:c r="D97" s="136"/>
      <x:c r="E97" s="136"/>
      <x:c r="F97" s="136"/>
      <x:c r="G97" s="136"/>
      <x:c r="H97" s="136"/>
      <x:c r="I97" s="136"/>
      <x:c r="J97" s="136"/>
      <x:c r="K97" s="136"/>
      <x:c r="L97" s="136"/>
      <x:c r="M97" s="136"/>
      <x:c r="N97" s="136"/>
      <x:c r="O97" s="136"/>
      <x:c r="P97" s="136"/>
      <x:c r="Q97" s="136"/>
      <x:c r="R97" s="136"/>
      <x:c r="S97" s="136"/>
      <x:c r="T97" s="136"/>
      <x:c r="U97" s="136"/>
      <x:c r="V97" s="136"/>
      <x:c r="W97" s="136"/>
      <x:c r="X97" s="136"/>
      <x:c r="Y97" s="136"/>
      <x:c r="Z97" s="136"/>
    </x:row>
    <x:row r="98">
      <x:c r="A98" s="136"/>
      <x:c r="B98" s="136"/>
      <x:c r="C98" s="136"/>
      <x:c r="D98" s="136"/>
      <x:c r="E98" s="136"/>
      <x:c r="F98" s="136"/>
      <x:c r="G98" s="136"/>
      <x:c r="H98" s="136"/>
      <x:c r="I98" s="136"/>
      <x:c r="J98" s="136"/>
      <x:c r="K98" s="136"/>
      <x:c r="L98" s="136"/>
      <x:c r="M98" s="136"/>
      <x:c r="N98" s="136"/>
      <x:c r="O98" s="136"/>
      <x:c r="P98" s="136"/>
      <x:c r="Q98" s="136"/>
      <x:c r="R98" s="136"/>
      <x:c r="S98" s="136"/>
      <x:c r="T98" s="136"/>
      <x:c r="U98" s="136"/>
      <x:c r="V98" s="136"/>
      <x:c r="W98" s="136"/>
      <x:c r="X98" s="136"/>
      <x:c r="Y98" s="136"/>
      <x:c r="Z98" s="136"/>
    </x:row>
    <x:row r="99">
      <x:c r="A99" s="136"/>
      <x:c r="B99" s="136"/>
      <x:c r="C99" s="136"/>
      <x:c r="D99" s="136"/>
      <x:c r="E99" s="136"/>
      <x:c r="F99" s="136"/>
      <x:c r="G99" s="136"/>
      <x:c r="H99" s="136"/>
      <x:c r="I99" s="136"/>
      <x:c r="J99" s="136"/>
      <x:c r="K99" s="136"/>
      <x:c r="L99" s="136"/>
      <x:c r="M99" s="136"/>
      <x:c r="N99" s="136"/>
      <x:c r="O99" s="136"/>
      <x:c r="P99" s="136"/>
      <x:c r="Q99" s="136"/>
      <x:c r="R99" s="136"/>
      <x:c r="S99" s="136"/>
      <x:c r="T99" s="136"/>
      <x:c r="U99" s="136"/>
      <x:c r="V99" s="136"/>
      <x:c r="W99" s="136"/>
      <x:c r="X99" s="136"/>
      <x:c r="Y99" s="136"/>
      <x:c r="Z99" s="136"/>
    </x:row>
    <x:row r="100">
      <x:c r="A100" s="136"/>
      <x:c r="B100" s="136"/>
      <x:c r="C100" s="136"/>
      <x:c r="D100" s="136"/>
      <x:c r="E100" s="136"/>
      <x:c r="F100" s="136"/>
      <x:c r="G100" s="136"/>
      <x:c r="H100" s="136"/>
      <x:c r="I100" s="136"/>
      <x:c r="J100" s="136"/>
      <x:c r="K100" s="136"/>
      <x:c r="L100" s="136"/>
      <x:c r="M100" s="136"/>
      <x:c r="N100" s="136"/>
      <x:c r="O100" s="136"/>
      <x:c r="P100" s="136"/>
      <x:c r="Q100" s="136"/>
      <x:c r="R100" s="136"/>
      <x:c r="S100" s="136"/>
      <x:c r="T100" s="136"/>
      <x:c r="U100" s="136"/>
      <x:c r="V100" s="136"/>
      <x:c r="W100" s="136"/>
      <x:c r="X100" s="136"/>
      <x:c r="Y100" s="136"/>
      <x:c r="Z100" s="136"/>
    </x:row>
  </x:sheetData>
  <x:mergeCells>
    <x:mergeCell ref="A1:J1"/>
  </x:mergeCells>
  <x:conditionalFormatting sqref="I3:I50">
    <x:cfRule type="expression" dxfId="3" priority="1">
      <x:formula>ISNUMBER(SEARCH("coexisting",$I3))</x:formula>
    </x:cfRule>
    <x:cfRule type="expression" dxfId="4" priority="2">
      <x:formula>$I3="Future only"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4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0" hidden="0" customWidth="1"/>
    <x:col min="10" max="10" width="20" hidden="0" customWidth="1"/>
  </x:cols>
  <x:sheetData>
    <x:row r="1" ht="26" customHeight="1">
      <x:c r="A1" s="182" t="str">
        <x:v>Braskem Brazil Feedstock &amp; Cracker Benchmarks</x:v>
      </x:c>
      <x:c r="B1" s="182"/>
      <x:c r="C1" s="182"/>
      <x:c r="D1" s="182"/>
      <x:c r="E1" s="182"/>
      <x:c r="F1" s="182"/>
      <x:c r="G1" s="182"/>
      <x:c r="H1" s="182"/>
      <x:c r="I1" s="182"/>
      <x:c r="J1" s="182"/>
      <x:c r="K1" s="112"/>
      <x:c r="L1" s="112"/>
      <x:c r="M1" s="112"/>
      <x:c r="N1" s="112"/>
      <x:c r="O1" s="112"/>
      <x:c r="P1" s="112"/>
      <x:c r="Q1" s="112"/>
      <x:c r="R1" s="112"/>
      <x:c r="S1" s="112"/>
      <x:c r="T1" s="112"/>
      <x:c r="U1" s="112"/>
      <x:c r="V1" s="112"/>
      <x:c r="W1" s="112"/>
      <x:c r="X1" s="112"/>
      <x:c r="Y1" s="112"/>
      <x:c r="Z1" s="112"/>
    </x:row>
    <x:row r="2">
      <x:c r="A2" s="12" t="str">
        <x:v>Year</x:v>
      </x:c>
      <x:c r="B2" s="12" t="str">
        <x:v>Brazil Source %</x:v>
      </x:c>
      <x:c r="C2" s="12" t="str">
        <x:v>North America %</x:v>
      </x:c>
      <x:c r="D2" s="12" t="str">
        <x:v>Europe %</x:v>
      </x:c>
      <x:c r="E2" s="12" t="str">
        <x:v>South America %</x:v>
      </x:c>
      <x:c r="F2" s="12" t="str">
        <x:v>Africa %</x:v>
      </x:c>
      <x:c r="G2" s="12" t="str">
        <x:v>Imported %</x:v>
      </x:c>
      <x:c r="H2" s="12" t="str">
        <x:v>N. America / Imports %</x:v>
      </x:c>
      <x:c r="I2" s="12" t="str">
        <x:v>Ethylene Production (kt)</x:v>
      </x:c>
      <x:c r="J2" s="12" t="str">
        <x:v>Ethylene Utilization</x:v>
      </x:c>
      <x:c r="K2" s="136"/>
      <x:c r="L2" s="136"/>
      <x:c r="M2" s="136"/>
      <x:c r="N2" s="136"/>
      <x:c r="O2" s="136"/>
      <x:c r="P2" s="136"/>
      <x:c r="Q2" s="136"/>
      <x:c r="R2" s="136"/>
      <x:c r="S2" s="136"/>
      <x:c r="T2" s="136"/>
      <x:c r="U2" s="136"/>
      <x:c r="V2" s="136"/>
      <x:c r="W2" s="136"/>
      <x:c r="X2" s="136"/>
      <x:c r="Y2" s="136"/>
      <x:c r="Z2" s="136"/>
    </x:row>
    <x:row r="3">
      <x:c r="A3" s="116" t="n">
        <x:v>2023</x:v>
      </x:c>
      <x:c r="B3" s="183" t="n">
        <x:v>0.43</x:v>
      </x:c>
      <x:c r="C3" s="183" t="n">
        <x:v>0.15</x:v>
      </x:c>
      <x:c r="D3" s="183" t="n">
        <x:v>0.12</x:v>
      </x:c>
      <x:c r="E3" s="183" t="n">
        <x:v>0.08</x:v>
      </x:c>
      <x:c r="F3" s="183" t="n">
        <x:v>0.21</x:v>
      </x:c>
      <x:c r="G3" s="184" t="n">
        <x:f>1-B3</x:f>
        <x:v>0.5700000000000001</x:v>
      </x:c>
      <x:c r="H3" s="184" t="n">
        <x:f>C3/G3</x:f>
        <x:v>0.2631578947368421</x:v>
      </x:c>
      <x:c r="I3" s="185" t="n">
        <x:v>2653</x:v>
      </x:c>
      <x:c r="J3" s="183" t="n">
        <x:v>0.71</x:v>
      </x:c>
      <x:c r="K3" s="136"/>
      <x:c r="L3" s="136"/>
      <x:c r="M3" s="136"/>
      <x:c r="N3" s="136"/>
      <x:c r="O3" s="136"/>
      <x:c r="P3" s="136"/>
      <x:c r="Q3" s="136"/>
      <x:c r="R3" s="136"/>
      <x:c r="S3" s="136"/>
      <x:c r="T3" s="136"/>
      <x:c r="U3" s="136"/>
      <x:c r="V3" s="136"/>
      <x:c r="W3" s="136"/>
      <x:c r="X3" s="136"/>
      <x:c r="Y3" s="136"/>
      <x:c r="Z3" s="136"/>
    </x:row>
    <x:row r="4">
      <x:c r="A4" s="116" t="n">
        <x:v>2024</x:v>
      </x:c>
      <x:c r="B4" s="183" t="n">
        <x:v>0.43</x:v>
      </x:c>
      <x:c r="C4" s="183" t="n">
        <x:v>0.24</x:v>
      </x:c>
      <x:c r="D4" s="183" t="n">
        <x:v>0.1</x:v>
      </x:c>
      <x:c r="E4" s="183" t="n">
        <x:v>0.01</x:v>
      </x:c>
      <x:c r="F4" s="183" t="n">
        <x:v>0.22</x:v>
      </x:c>
      <x:c r="G4" s="184" t="n">
        <x:f>1-B4</x:f>
        <x:v>0.5700000000000001</x:v>
      </x:c>
      <x:c r="H4" s="184" t="n">
        <x:f>C4/G4</x:f>
        <x:v>0.4210526315789473</x:v>
      </x:c>
      <x:c r="I4" s="185" t="n">
        <x:v>2693</x:v>
      </x:c>
      <x:c r="J4" s="183" t="n">
        <x:v>0.72</x:v>
      </x:c>
      <x:c r="K4" s="136"/>
      <x:c r="L4" s="136"/>
      <x:c r="M4" s="136"/>
      <x:c r="N4" s="136"/>
      <x:c r="O4" s="136"/>
      <x:c r="P4" s="136"/>
      <x:c r="Q4" s="136"/>
      <x:c r="R4" s="136"/>
      <x:c r="S4" s="136"/>
      <x:c r="T4" s="136"/>
      <x:c r="U4" s="136"/>
      <x:c r="V4" s="136"/>
      <x:c r="W4" s="136"/>
      <x:c r="X4" s="136"/>
      <x:c r="Y4" s="136"/>
      <x:c r="Z4" s="136"/>
    </x:row>
    <x:row r="5">
      <x:c r="A5" s="116" t="n">
        <x:v>2025</x:v>
      </x:c>
      <x:c r="B5" s="183" t="n">
        <x:v>0.45</x:v>
      </x:c>
      <x:c r="C5" s="183" t="n">
        <x:v>0.31</x:v>
      </x:c>
      <x:c r="D5" s="183" t="n">
        <x:v>0.06</x:v>
      </x:c>
      <x:c r="E5" s="183" t="n">
        <x:v>0.01</x:v>
      </x:c>
      <x:c r="F5" s="183" t="n">
        <x:v>0.17</x:v>
      </x:c>
      <x:c r="G5" s="184" t="n">
        <x:f>1-B5</x:f>
        <x:v>0.55</x:v>
      </x:c>
      <x:c r="H5" s="184" t="n">
        <x:f>C5/G5</x:f>
        <x:v>0.5636363636363636</x:v>
      </x:c>
      <x:c r="I5" s="185" t="n">
        <x:v>2559</x:v>
      </x:c>
      <x:c r="J5" s="183" t="n">
        <x:v>0.68</x:v>
      </x:c>
      <x:c r="K5" s="136"/>
      <x:c r="L5" s="136"/>
      <x:c r="M5" s="136"/>
      <x:c r="N5" s="136"/>
      <x:c r="O5" s="136"/>
      <x:c r="P5" s="136"/>
      <x:c r="Q5" s="136"/>
      <x:c r="R5" s="136"/>
      <x:c r="S5" s="136"/>
      <x:c r="T5" s="136"/>
      <x:c r="U5" s="136"/>
      <x:c r="V5" s="136"/>
      <x:c r="W5" s="136"/>
      <x:c r="X5" s="136"/>
      <x:c r="Y5" s="136"/>
      <x:c r="Z5" s="136"/>
    </x:row>
    <x:row r="6">
      <x:c r="A6" s="176"/>
      <x:c r="B6" s="176"/>
      <x:c r="C6" s="176"/>
      <x:c r="D6" s="176"/>
      <x:c r="E6" s="176"/>
      <x:c r="F6" s="176"/>
      <x:c r="G6" s="176"/>
      <x:c r="H6" s="176"/>
      <x:c r="I6" s="176"/>
      <x:c r="J6" s="176"/>
      <x:c r="K6" s="136"/>
      <x:c r="L6" s="136"/>
      <x:c r="M6" s="136"/>
      <x:c r="N6" s="136"/>
      <x:c r="O6" s="136"/>
      <x:c r="P6" s="136"/>
      <x:c r="Q6" s="136"/>
      <x:c r="R6" s="136"/>
      <x:c r="S6" s="136"/>
      <x:c r="T6" s="136"/>
      <x:c r="U6" s="136"/>
      <x:c r="V6" s="136"/>
      <x:c r="W6" s="136"/>
      <x:c r="X6" s="136"/>
      <x:c r="Y6" s="136"/>
      <x:c r="Z6" s="136"/>
    </x:row>
    <x:row r="7">
      <x:c r="A7" s="186" t="str">
        <x:v>Interpretation</x:v>
      </x:c>
      <x:c r="B7" s="186"/>
      <x:c r="C7" s="186"/>
      <x:c r="D7" s="186"/>
      <x:c r="E7" s="186"/>
      <x:c r="F7" s="186"/>
      <x:c r="G7" s="186"/>
      <x:c r="H7" s="186"/>
      <x:c r="I7" s="186"/>
      <x:c r="J7" s="186"/>
      <x:c r="K7" s="136"/>
      <x:c r="L7" s="136"/>
      <x:c r="M7" s="136"/>
      <x:c r="N7" s="136"/>
      <x:c r="O7" s="136"/>
      <x:c r="P7" s="136"/>
      <x:c r="Q7" s="136"/>
      <x:c r="R7" s="136"/>
      <x:c r="S7" s="136"/>
      <x:c r="T7" s="136"/>
      <x:c r="U7" s="136"/>
      <x:c r="V7" s="136"/>
      <x:c r="W7" s="136"/>
      <x:c r="X7" s="136"/>
      <x:c r="Y7" s="136"/>
      <x:c r="Z7" s="136"/>
    </x:row>
    <x:row r="8">
      <x:c r="A8" s="163" t="str">
        <x:v>North America rose from 15% of total feedstock in 2023 to 31% in 2025, while total imports were 55% in 2025. North America therefore represented ~56% of imported feedstock before the Future fleet arrived. The monitor tests whether third-party arrivals remain elevated as Future-fleet tonnes ramp.</x:v>
      </x:c>
      <x:c r="B8" s="163"/>
      <x:c r="C8" s="163"/>
      <x:c r="D8" s="163"/>
      <x:c r="E8" s="163"/>
      <x:c r="F8" s="163"/>
      <x:c r="G8" s="163"/>
      <x:c r="H8" s="163"/>
      <x:c r="I8" s="163"/>
      <x:c r="J8" s="163"/>
      <x:c r="K8" s="136"/>
      <x:c r="L8" s="136"/>
      <x:c r="M8" s="136"/>
      <x:c r="N8" s="136"/>
      <x:c r="O8" s="136"/>
      <x:c r="P8" s="136"/>
      <x:c r="Q8" s="136"/>
      <x:c r="R8" s="136"/>
      <x:c r="S8" s="136"/>
      <x:c r="T8" s="136"/>
      <x:c r="U8" s="136"/>
      <x:c r="V8" s="136"/>
      <x:c r="W8" s="136"/>
      <x:c r="X8" s="136"/>
      <x:c r="Y8" s="136"/>
      <x:c r="Z8" s="136"/>
    </x:row>
    <x:row r="9">
      <x:c r="A9" s="163"/>
      <x:c r="B9" s="163"/>
      <x:c r="C9" s="163"/>
      <x:c r="D9" s="163"/>
      <x:c r="E9" s="163"/>
      <x:c r="F9" s="163"/>
      <x:c r="G9" s="163"/>
      <x:c r="H9" s="163"/>
      <x:c r="I9" s="163"/>
      <x:c r="J9" s="163"/>
      <x:c r="K9" s="136"/>
      <x:c r="L9" s="136"/>
      <x:c r="M9" s="136"/>
      <x:c r="N9" s="136"/>
      <x:c r="O9" s="136"/>
      <x:c r="P9" s="136"/>
      <x:c r="Q9" s="136"/>
      <x:c r="R9" s="136"/>
      <x:c r="S9" s="136"/>
      <x:c r="T9" s="136"/>
      <x:c r="U9" s="136"/>
      <x:c r="V9" s="136"/>
      <x:c r="W9" s="136"/>
      <x:c r="X9" s="136"/>
      <x:c r="Y9" s="136"/>
      <x:c r="Z9" s="136"/>
    </x:row>
    <x:row r="10">
      <x:c r="A10" s="163"/>
      <x:c r="B10" s="163"/>
      <x:c r="C10" s="163"/>
      <x:c r="D10" s="163"/>
      <x:c r="E10" s="163"/>
      <x:c r="F10" s="163"/>
      <x:c r="G10" s="163"/>
      <x:c r="H10" s="163"/>
      <x:c r="I10" s="163"/>
      <x:c r="J10" s="163"/>
      <x:c r="K10" s="136"/>
      <x:c r="L10" s="136"/>
      <x:c r="M10" s="136"/>
      <x:c r="N10" s="136"/>
      <x:c r="O10" s="136"/>
      <x:c r="P10" s="136"/>
      <x:c r="Q10" s="136"/>
      <x:c r="R10" s="136"/>
      <x:c r="S10" s="136"/>
      <x:c r="T10" s="136"/>
      <x:c r="U10" s="136"/>
      <x:c r="V10" s="136"/>
      <x:c r="W10" s="136"/>
      <x:c r="X10" s="136"/>
      <x:c r="Y10" s="136"/>
      <x:c r="Z10" s="136"/>
    </x:row>
    <x:row r="11">
      <x:c r="A11" s="176"/>
      <x:c r="B11" s="176"/>
      <x:c r="C11" s="176"/>
      <x:c r="D11" s="176"/>
      <x:c r="E11" s="176"/>
      <x:c r="F11" s="176"/>
      <x:c r="G11" s="176"/>
      <x:c r="H11" s="176"/>
      <x:c r="I11" s="176"/>
      <x:c r="J11" s="176"/>
      <x:c r="K11" s="136"/>
      <x:c r="L11" s="136"/>
      <x:c r="M11" s="136"/>
      <x:c r="N11" s="136"/>
      <x:c r="O11" s="136"/>
      <x:c r="P11" s="136"/>
      <x:c r="Q11" s="136"/>
      <x:c r="R11" s="136"/>
      <x:c r="S11" s="136"/>
      <x:c r="T11" s="136"/>
      <x:c r="U11" s="136"/>
      <x:c r="V11" s="136"/>
      <x:c r="W11" s="136"/>
      <x:c r="X11" s="136"/>
      <x:c r="Y11" s="136"/>
      <x:c r="Z11" s="136"/>
    </x:row>
    <x:row r="12">
      <x:c r="A12" s="12" t="str">
        <x:v>Source Item</x:v>
      </x:c>
      <x:c r="B12" s="12" t="str">
        <x:v>URL</x:v>
      </x:c>
      <x:c r="C12" s="12" t="str">
        <x:v>Note</x:v>
      </x:c>
      <x:c r="D12" s="176"/>
      <x:c r="E12" s="176"/>
      <x:c r="F12" s="176"/>
      <x:c r="G12" s="176"/>
      <x:c r="H12" s="176"/>
      <x:c r="I12" s="176"/>
      <x:c r="J12" s="176"/>
      <x:c r="K12" s="136"/>
      <x:c r="L12" s="136"/>
      <x:c r="M12" s="136"/>
      <x:c r="N12" s="136"/>
      <x:c r="O12" s="136"/>
      <x:c r="P12" s="136"/>
      <x:c r="Q12" s="136"/>
      <x:c r="R12" s="136"/>
      <x:c r="S12" s="136"/>
      <x:c r="T12" s="136"/>
      <x:c r="U12" s="136"/>
      <x:c r="V12" s="136"/>
      <x:c r="W12" s="136"/>
      <x:c r="X12" s="136"/>
      <x:c r="Y12" s="136"/>
      <x:c r="Z12" s="136"/>
    </x:row>
    <x:row r="13">
      <x:c r="A13" s="176" t="str">
        <x:v>2025 20-F / feedstock sourcing</x:v>
      </x:c>
      <x:c r="B13" s="171" t="str">
        <x:v>https://www.sec.gov/Archives/edgar/data/1071438/000129281426002427/bakform20f_2025.htm</x:v>
      </x:c>
      <x:c r="C13" s="176" t="str">
        <x:v>2023–2025 sourcing shares and Brazil ethylene production/capacity.</x:v>
      </x:c>
      <x:c r="D13" s="176"/>
      <x:c r="E13" s="176"/>
      <x:c r="F13" s="176"/>
      <x:c r="G13" s="176"/>
      <x:c r="H13" s="176"/>
      <x:c r="I13" s="176"/>
      <x:c r="J13" s="176"/>
      <x:c r="K13" s="136"/>
      <x:c r="L13" s="136"/>
      <x:c r="M13" s="136"/>
      <x:c r="N13" s="136"/>
      <x:c r="O13" s="136"/>
      <x:c r="P13" s="136"/>
      <x:c r="Q13" s="136"/>
      <x:c r="R13" s="136"/>
      <x:c r="S13" s="136"/>
      <x:c r="T13" s="136"/>
      <x:c r="U13" s="136"/>
      <x:c r="V13" s="136"/>
      <x:c r="W13" s="136"/>
      <x:c r="X13" s="136"/>
      <x:c r="Y13" s="136"/>
      <x:c r="Z13" s="136"/>
    </x:row>
    <x:row r="14">
      <x:c r="A14" s="176" t="str">
        <x:v>2024 20-F</x:v>
      </x:c>
      <x:c r="B14" s="171" t="str">
        <x:v>https://www.sec.gov/Archives/edgar/data/1071438/000129281425001192/bakform20f_2024.htm</x:v>
      </x:c>
      <x:c r="C14" s="176" t="str">
        <x:v>Petrobras/naphtha sourcing discussion.</x:v>
      </x:c>
      <x:c r="D14" s="176"/>
      <x:c r="E14" s="176"/>
      <x:c r="F14" s="176"/>
      <x:c r="G14" s="176"/>
      <x:c r="H14" s="176"/>
      <x:c r="I14" s="176"/>
      <x:c r="J14" s="176"/>
      <x:c r="K14" s="136"/>
      <x:c r="L14" s="136"/>
      <x:c r="M14" s="136"/>
      <x:c r="N14" s="136"/>
      <x:c r="O14" s="136"/>
      <x:c r="P14" s="136"/>
      <x:c r="Q14" s="136"/>
      <x:c r="R14" s="136"/>
      <x:c r="S14" s="136"/>
      <x:c r="T14" s="136"/>
      <x:c r="U14" s="136"/>
      <x:c r="V14" s="136"/>
      <x:c r="W14" s="136"/>
      <x:c r="X14" s="136"/>
      <x:c r="Y14" s="136"/>
      <x:c r="Z14" s="136"/>
    </x:row>
    <x:row r="15">
      <x:c r="A15" s="176" t="str">
        <x:v>Braskem 2025 Integrated Report</x:v>
      </x:c>
      <x:c r="B15" s="171" t="str">
        <x:v>https://www.latibex.com/docs/Documentos/esp/hechosrelev/2026/20260327_Braskem_RA_2025_ENG.pdf</x:v>
      </x:c>
      <x:c r="C15" s="176" t="str">
        <x:v>Operating/utilization context.</x:v>
      </x:c>
      <x:c r="D15" s="176"/>
      <x:c r="E15" s="176"/>
      <x:c r="F15" s="176"/>
      <x:c r="G15" s="176"/>
      <x:c r="H15" s="176"/>
      <x:c r="I15" s="176"/>
      <x:c r="J15" s="176"/>
      <x:c r="K15" s="136"/>
      <x:c r="L15" s="136"/>
      <x:c r="M15" s="136"/>
      <x:c r="N15" s="136"/>
      <x:c r="O15" s="136"/>
      <x:c r="P15" s="136"/>
      <x:c r="Q15" s="136"/>
      <x:c r="R15" s="136"/>
      <x:c r="S15" s="136"/>
      <x:c r="T15" s="136"/>
      <x:c r="U15" s="136"/>
      <x:c r="V15" s="136"/>
      <x:c r="W15" s="136"/>
      <x:c r="X15" s="136"/>
      <x:c r="Y15" s="136"/>
      <x:c r="Z15" s="136"/>
    </x:row>
    <x:row r="16">
      <x:c r="A16" s="136"/>
      <x:c r="B16" s="136"/>
      <x:c r="C16" s="136"/>
      <x:c r="D16" s="136"/>
      <x:c r="E16" s="136"/>
      <x:c r="F16" s="136"/>
      <x:c r="G16" s="136"/>
      <x:c r="H16" s="136"/>
      <x:c r="I16" s="136"/>
      <x:c r="J16" s="136"/>
      <x:c r="K16" s="136"/>
      <x:c r="L16" s="136"/>
      <x:c r="M16" s="136"/>
      <x:c r="N16" s="136"/>
      <x:c r="O16" s="136"/>
      <x:c r="P16" s="136"/>
      <x:c r="Q16" s="136"/>
      <x:c r="R16" s="136"/>
      <x:c r="S16" s="136"/>
      <x:c r="T16" s="136"/>
      <x:c r="U16" s="136"/>
      <x:c r="V16" s="136"/>
      <x:c r="W16" s="136"/>
      <x:c r="X16" s="136"/>
      <x:c r="Y16" s="136"/>
      <x:c r="Z16" s="136"/>
    </x:row>
    <x:row r="17">
      <x:c r="A17" s="136"/>
      <x:c r="B17" s="136"/>
      <x:c r="C17" s="136"/>
      <x:c r="D17" s="136"/>
      <x:c r="E17" s="136"/>
      <x:c r="F17" s="136"/>
      <x:c r="G17" s="136"/>
      <x:c r="H17" s="136"/>
      <x:c r="I17" s="136"/>
      <x:c r="J17" s="136"/>
      <x:c r="K17" s="136"/>
      <x:c r="L17" s="136"/>
      <x:c r="M17" s="136"/>
      <x:c r="N17" s="136"/>
      <x:c r="O17" s="136"/>
      <x:c r="P17" s="136"/>
      <x:c r="Q17" s="136"/>
      <x:c r="R17" s="136"/>
      <x:c r="S17" s="136"/>
      <x:c r="T17" s="136"/>
      <x:c r="U17" s="136"/>
      <x:c r="V17" s="136"/>
      <x:c r="W17" s="136"/>
      <x:c r="X17" s="136"/>
      <x:c r="Y17" s="136"/>
      <x:c r="Z17" s="136"/>
    </x:row>
    <x:row r="18">
      <x:c r="A18" s="136"/>
      <x:c r="B18" s="136"/>
      <x:c r="C18" s="136"/>
      <x:c r="D18" s="136"/>
      <x:c r="E18" s="136"/>
      <x:c r="F18" s="136"/>
      <x:c r="G18" s="136"/>
      <x:c r="H18" s="136"/>
      <x:c r="I18" s="136"/>
      <x:c r="J18" s="136"/>
      <x:c r="K18" s="136"/>
      <x:c r="L18" s="136"/>
      <x:c r="M18" s="136"/>
      <x:c r="N18" s="136"/>
      <x:c r="O18" s="136"/>
      <x:c r="P18" s="136"/>
      <x:c r="Q18" s="136"/>
      <x:c r="R18" s="136"/>
      <x:c r="S18" s="136"/>
      <x:c r="T18" s="136"/>
      <x:c r="U18" s="136"/>
      <x:c r="V18" s="136"/>
      <x:c r="W18" s="136"/>
      <x:c r="X18" s="136"/>
      <x:c r="Y18" s="136"/>
      <x:c r="Z18" s="136"/>
    </x:row>
    <x:row r="19">
      <x:c r="A19" s="136"/>
      <x:c r="B19" s="136"/>
      <x:c r="C19" s="136"/>
      <x:c r="D19" s="136"/>
      <x:c r="E19" s="136"/>
      <x:c r="F19" s="136"/>
      <x:c r="G19" s="136"/>
      <x:c r="H19" s="136"/>
      <x:c r="I19" s="136"/>
      <x:c r="J19" s="136"/>
      <x:c r="K19" s="136"/>
      <x:c r="L19" s="136"/>
      <x:c r="M19" s="136"/>
      <x:c r="N19" s="136"/>
      <x:c r="O19" s="136"/>
      <x:c r="P19" s="136"/>
      <x:c r="Q19" s="136"/>
      <x:c r="R19" s="136"/>
      <x:c r="S19" s="136"/>
      <x:c r="T19" s="136"/>
      <x:c r="U19" s="136"/>
      <x:c r="V19" s="136"/>
      <x:c r="W19" s="136"/>
      <x:c r="X19" s="136"/>
      <x:c r="Y19" s="136"/>
      <x:c r="Z19" s="136"/>
    </x:row>
    <x:row r="20">
      <x:c r="A20" s="136"/>
      <x:c r="B20" s="136"/>
      <x:c r="C20" s="136"/>
      <x:c r="D20" s="136"/>
      <x:c r="E20" s="136"/>
      <x:c r="F20" s="136"/>
      <x:c r="G20" s="136"/>
      <x:c r="H20" s="136"/>
      <x:c r="I20" s="136"/>
      <x:c r="J20" s="136"/>
      <x:c r="K20" s="136"/>
      <x:c r="L20" s="136"/>
      <x:c r="M20" s="136"/>
      <x:c r="N20" s="136"/>
      <x:c r="O20" s="136"/>
      <x:c r="P20" s="136"/>
      <x:c r="Q20" s="136"/>
      <x:c r="R20" s="136"/>
      <x:c r="S20" s="136"/>
      <x:c r="T20" s="136"/>
      <x:c r="U20" s="136"/>
      <x:c r="V20" s="136"/>
      <x:c r="W20" s="136"/>
      <x:c r="X20" s="136"/>
      <x:c r="Y20" s="136"/>
      <x:c r="Z20" s="136"/>
    </x:row>
    <x:row r="21">
      <x:c r="A21" s="136"/>
      <x:c r="B21" s="136"/>
      <x:c r="C21" s="136"/>
      <x:c r="D21" s="136"/>
      <x:c r="E21" s="136"/>
      <x:c r="F21" s="136"/>
      <x:c r="G21" s="136"/>
      <x:c r="H21" s="136"/>
      <x:c r="I21" s="136"/>
      <x:c r="J21" s="136"/>
      <x:c r="K21" s="136"/>
      <x:c r="L21" s="136"/>
      <x:c r="M21" s="136"/>
      <x:c r="N21" s="136"/>
      <x:c r="O21" s="136"/>
      <x:c r="P21" s="136"/>
      <x:c r="Q21" s="136"/>
      <x:c r="R21" s="136"/>
      <x:c r="S21" s="136"/>
      <x:c r="T21" s="136"/>
      <x:c r="U21" s="136"/>
      <x:c r="V21" s="136"/>
      <x:c r="W21" s="136"/>
      <x:c r="X21" s="136"/>
      <x:c r="Y21" s="136"/>
      <x:c r="Z21" s="136"/>
    </x:row>
    <x:row r="22">
      <x:c r="A22" s="136"/>
      <x:c r="B22" s="136"/>
      <x:c r="C22" s="136"/>
      <x:c r="D22" s="136"/>
      <x:c r="E22" s="136"/>
      <x:c r="F22" s="136"/>
      <x:c r="G22" s="136"/>
      <x:c r="H22" s="136"/>
      <x:c r="I22" s="136"/>
      <x:c r="J22" s="136"/>
      <x:c r="K22" s="136"/>
      <x:c r="L22" s="136"/>
      <x:c r="M22" s="136"/>
      <x:c r="N22" s="136"/>
      <x:c r="O22" s="136"/>
      <x:c r="P22" s="136"/>
      <x:c r="Q22" s="136"/>
      <x:c r="R22" s="136"/>
      <x:c r="S22" s="136"/>
      <x:c r="T22" s="136"/>
      <x:c r="U22" s="136"/>
      <x:c r="V22" s="136"/>
      <x:c r="W22" s="136"/>
      <x:c r="X22" s="136"/>
      <x:c r="Y22" s="136"/>
      <x:c r="Z22" s="136"/>
    </x:row>
    <x:row r="23">
      <x:c r="A23" s="136"/>
      <x:c r="B23" s="136"/>
      <x:c r="C23" s="136"/>
      <x:c r="D23" s="136"/>
      <x:c r="E23" s="136"/>
      <x:c r="F23" s="136"/>
      <x:c r="G23" s="136"/>
      <x:c r="H23" s="136"/>
      <x:c r="I23" s="136"/>
      <x:c r="J23" s="136"/>
      <x:c r="K23" s="136"/>
      <x:c r="L23" s="136"/>
      <x:c r="M23" s="136"/>
      <x:c r="N23" s="136"/>
      <x:c r="O23" s="136"/>
      <x:c r="P23" s="136"/>
      <x:c r="Q23" s="136"/>
      <x:c r="R23" s="136"/>
      <x:c r="S23" s="136"/>
      <x:c r="T23" s="136"/>
      <x:c r="U23" s="136"/>
      <x:c r="V23" s="136"/>
      <x:c r="W23" s="136"/>
      <x:c r="X23" s="136"/>
      <x:c r="Y23" s="136"/>
      <x:c r="Z23" s="136"/>
    </x:row>
    <x:row r="24">
      <x:c r="A24" s="136"/>
      <x:c r="B24" s="136"/>
      <x:c r="C24" s="136"/>
      <x:c r="D24" s="136"/>
      <x:c r="E24" s="136"/>
      <x:c r="F24" s="136"/>
      <x:c r="G24" s="136"/>
      <x:c r="H24" s="136"/>
      <x:c r="I24" s="136"/>
      <x:c r="J24" s="136"/>
      <x:c r="K24" s="136"/>
      <x:c r="L24" s="136"/>
      <x:c r="M24" s="136"/>
      <x:c r="N24" s="136"/>
      <x:c r="O24" s="136"/>
      <x:c r="P24" s="136"/>
      <x:c r="Q24" s="136"/>
      <x:c r="R24" s="136"/>
      <x:c r="S24" s="136"/>
      <x:c r="T24" s="136"/>
      <x:c r="U24" s="136"/>
      <x:c r="V24" s="136"/>
      <x:c r="W24" s="136"/>
      <x:c r="X24" s="136"/>
      <x:c r="Y24" s="136"/>
      <x:c r="Z24" s="136"/>
    </x:row>
    <x:row r="25">
      <x:c r="A25" s="136"/>
      <x:c r="B25" s="136"/>
      <x:c r="C25" s="136"/>
      <x:c r="D25" s="136"/>
      <x:c r="E25" s="136"/>
      <x:c r="F25" s="136"/>
      <x:c r="G25" s="136"/>
      <x:c r="H25" s="136"/>
      <x:c r="I25" s="136"/>
      <x:c r="J25" s="136"/>
      <x:c r="K25" s="136"/>
      <x:c r="L25" s="136"/>
      <x:c r="M25" s="136"/>
      <x:c r="N25" s="136"/>
      <x:c r="O25" s="136"/>
      <x:c r="P25" s="136"/>
      <x:c r="Q25" s="136"/>
      <x:c r="R25" s="136"/>
      <x:c r="S25" s="136"/>
      <x:c r="T25" s="136"/>
      <x:c r="U25" s="136"/>
      <x:c r="V25" s="136"/>
      <x:c r="W25" s="136"/>
      <x:c r="X25" s="136"/>
      <x:c r="Y25" s="136"/>
      <x:c r="Z25" s="136"/>
    </x:row>
    <x:row r="26">
      <x:c r="A26" s="136"/>
      <x:c r="B26" s="136"/>
      <x:c r="C26" s="136"/>
      <x:c r="D26" s="136"/>
      <x:c r="E26" s="136"/>
      <x:c r="F26" s="136"/>
      <x:c r="G26" s="136"/>
      <x:c r="H26" s="136"/>
      <x:c r="I26" s="136"/>
      <x:c r="J26" s="136"/>
      <x:c r="K26" s="136"/>
      <x:c r="L26" s="136"/>
      <x:c r="M26" s="136"/>
      <x:c r="N26" s="136"/>
      <x:c r="O26" s="136"/>
      <x:c r="P26" s="136"/>
      <x:c r="Q26" s="136"/>
      <x:c r="R26" s="136"/>
      <x:c r="S26" s="136"/>
      <x:c r="T26" s="136"/>
      <x:c r="U26" s="136"/>
      <x:c r="V26" s="136"/>
      <x:c r="W26" s="136"/>
      <x:c r="X26" s="136"/>
      <x:c r="Y26" s="136"/>
      <x:c r="Z26" s="136"/>
    </x:row>
    <x:row r="27">
      <x:c r="A27" s="136"/>
      <x:c r="B27" s="136"/>
      <x:c r="C27" s="136"/>
      <x:c r="D27" s="136"/>
      <x:c r="E27" s="136"/>
      <x:c r="F27" s="136"/>
      <x:c r="G27" s="136"/>
      <x:c r="H27" s="136"/>
      <x:c r="I27" s="136"/>
      <x:c r="J27" s="136"/>
      <x:c r="K27" s="136"/>
      <x:c r="L27" s="136"/>
      <x:c r="M27" s="136"/>
      <x:c r="N27" s="136"/>
      <x:c r="O27" s="136"/>
      <x:c r="P27" s="136"/>
      <x:c r="Q27" s="136"/>
      <x:c r="R27" s="136"/>
      <x:c r="S27" s="136"/>
      <x:c r="T27" s="136"/>
      <x:c r="U27" s="136"/>
      <x:c r="V27" s="136"/>
      <x:c r="W27" s="136"/>
      <x:c r="X27" s="136"/>
      <x:c r="Y27" s="136"/>
      <x:c r="Z27" s="136"/>
    </x:row>
    <x:row r="28">
      <x:c r="A28" s="136"/>
      <x:c r="B28" s="136"/>
      <x:c r="C28" s="136"/>
      <x:c r="D28" s="136"/>
      <x:c r="E28" s="136"/>
      <x:c r="F28" s="136"/>
      <x:c r="G28" s="136"/>
      <x:c r="H28" s="136"/>
      <x:c r="I28" s="136"/>
      <x:c r="J28" s="136"/>
      <x:c r="K28" s="136"/>
      <x:c r="L28" s="136"/>
      <x:c r="M28" s="136"/>
      <x:c r="N28" s="136"/>
      <x:c r="O28" s="136"/>
      <x:c r="P28" s="136"/>
      <x:c r="Q28" s="136"/>
      <x:c r="R28" s="136"/>
      <x:c r="S28" s="136"/>
      <x:c r="T28" s="136"/>
      <x:c r="U28" s="136"/>
      <x:c r="V28" s="136"/>
      <x:c r="W28" s="136"/>
      <x:c r="X28" s="136"/>
      <x:c r="Y28" s="136"/>
      <x:c r="Z28" s="136"/>
    </x:row>
    <x:row r="29">
      <x:c r="A29" s="136"/>
      <x:c r="B29" s="136"/>
      <x:c r="C29" s="136"/>
      <x:c r="D29" s="136"/>
      <x:c r="E29" s="136"/>
      <x:c r="F29" s="136"/>
      <x:c r="G29" s="136"/>
      <x:c r="H29" s="136"/>
      <x:c r="I29" s="136"/>
      <x:c r="J29" s="136"/>
      <x:c r="K29" s="136"/>
      <x:c r="L29" s="136"/>
      <x:c r="M29" s="136"/>
      <x:c r="N29" s="136"/>
      <x:c r="O29" s="136"/>
      <x:c r="P29" s="136"/>
      <x:c r="Q29" s="136"/>
      <x:c r="R29" s="136"/>
      <x:c r="S29" s="136"/>
      <x:c r="T29" s="136"/>
      <x:c r="U29" s="136"/>
      <x:c r="V29" s="136"/>
      <x:c r="W29" s="136"/>
      <x:c r="X29" s="136"/>
      <x:c r="Y29" s="136"/>
      <x:c r="Z29" s="136"/>
    </x:row>
    <x:row r="30">
      <x:c r="A30" s="136"/>
      <x:c r="B30" s="136"/>
      <x:c r="C30" s="136"/>
      <x:c r="D30" s="136"/>
      <x:c r="E30" s="136"/>
      <x:c r="F30" s="136"/>
      <x:c r="G30" s="136"/>
      <x:c r="H30" s="136"/>
      <x:c r="I30" s="136"/>
      <x:c r="J30" s="136"/>
      <x:c r="K30" s="136"/>
      <x:c r="L30" s="136"/>
      <x:c r="M30" s="136"/>
      <x:c r="N30" s="136"/>
      <x:c r="O30" s="136"/>
      <x:c r="P30" s="136"/>
      <x:c r="Q30" s="136"/>
      <x:c r="R30" s="136"/>
      <x:c r="S30" s="136"/>
      <x:c r="T30" s="136"/>
      <x:c r="U30" s="136"/>
      <x:c r="V30" s="136"/>
      <x:c r="W30" s="136"/>
      <x:c r="X30" s="136"/>
      <x:c r="Y30" s="136"/>
      <x:c r="Z30" s="136"/>
    </x:row>
    <x:row r="31">
      <x:c r="A31" s="136"/>
      <x:c r="B31" s="136"/>
      <x:c r="C31" s="136"/>
      <x:c r="D31" s="136"/>
      <x:c r="E31" s="136"/>
      <x:c r="F31" s="136"/>
      <x:c r="G31" s="136"/>
      <x:c r="H31" s="136"/>
      <x:c r="I31" s="136"/>
      <x:c r="J31" s="136"/>
      <x:c r="K31" s="136"/>
      <x:c r="L31" s="136"/>
      <x:c r="M31" s="136"/>
      <x:c r="N31" s="136"/>
      <x:c r="O31" s="136"/>
      <x:c r="P31" s="136"/>
      <x:c r="Q31" s="136"/>
      <x:c r="R31" s="136"/>
      <x:c r="S31" s="136"/>
      <x:c r="T31" s="136"/>
      <x:c r="U31" s="136"/>
      <x:c r="V31" s="136"/>
      <x:c r="W31" s="136"/>
      <x:c r="X31" s="136"/>
      <x:c r="Y31" s="136"/>
      <x:c r="Z31" s="136"/>
    </x:row>
    <x:row r="32">
      <x:c r="A32" s="136"/>
      <x:c r="B32" s="136"/>
      <x:c r="C32" s="136"/>
      <x:c r="D32" s="136"/>
      <x:c r="E32" s="136"/>
      <x:c r="F32" s="136"/>
      <x:c r="G32" s="136"/>
      <x:c r="H32" s="136"/>
      <x:c r="I32" s="136"/>
      <x:c r="J32" s="136"/>
      <x:c r="K32" s="136"/>
      <x:c r="L32" s="136"/>
      <x:c r="M32" s="136"/>
      <x:c r="N32" s="136"/>
      <x:c r="O32" s="136"/>
      <x:c r="P32" s="136"/>
      <x:c r="Q32" s="136"/>
      <x:c r="R32" s="136"/>
      <x:c r="S32" s="136"/>
      <x:c r="T32" s="136"/>
      <x:c r="U32" s="136"/>
      <x:c r="V32" s="136"/>
      <x:c r="W32" s="136"/>
      <x:c r="X32" s="136"/>
      <x:c r="Y32" s="136"/>
      <x:c r="Z32" s="136"/>
    </x:row>
    <x:row r="33">
      <x:c r="A33" s="136"/>
      <x:c r="B33" s="136"/>
      <x:c r="C33" s="136"/>
      <x:c r="D33" s="136"/>
      <x:c r="E33" s="136"/>
      <x:c r="F33" s="136"/>
      <x:c r="G33" s="136"/>
      <x:c r="H33" s="136"/>
      <x:c r="I33" s="136"/>
      <x:c r="J33" s="136"/>
      <x:c r="K33" s="136"/>
      <x:c r="L33" s="136"/>
      <x:c r="M33" s="136"/>
      <x:c r="N33" s="136"/>
      <x:c r="O33" s="136"/>
      <x:c r="P33" s="136"/>
      <x:c r="Q33" s="136"/>
      <x:c r="R33" s="136"/>
      <x:c r="S33" s="136"/>
      <x:c r="T33" s="136"/>
      <x:c r="U33" s="136"/>
      <x:c r="V33" s="136"/>
      <x:c r="W33" s="136"/>
      <x:c r="X33" s="136"/>
      <x:c r="Y33" s="136"/>
      <x:c r="Z33" s="136"/>
    </x:row>
    <x:row r="34">
      <x:c r="A34" s="136"/>
      <x:c r="B34" s="136"/>
      <x:c r="C34" s="136"/>
      <x:c r="D34" s="136"/>
      <x:c r="E34" s="136"/>
      <x:c r="F34" s="136"/>
      <x:c r="G34" s="136"/>
      <x:c r="H34" s="136"/>
      <x:c r="I34" s="136"/>
      <x:c r="J34" s="136"/>
      <x:c r="K34" s="136"/>
      <x:c r="L34" s="136"/>
      <x:c r="M34" s="136"/>
      <x:c r="N34" s="136"/>
      <x:c r="O34" s="136"/>
      <x:c r="P34" s="136"/>
      <x:c r="Q34" s="136"/>
      <x:c r="R34" s="136"/>
      <x:c r="S34" s="136"/>
      <x:c r="T34" s="136"/>
      <x:c r="U34" s="136"/>
      <x:c r="V34" s="136"/>
      <x:c r="W34" s="136"/>
      <x:c r="X34" s="136"/>
      <x:c r="Y34" s="136"/>
      <x:c r="Z34" s="136"/>
    </x:row>
    <x:row r="35">
      <x:c r="A35" s="136"/>
      <x:c r="B35" s="136"/>
      <x:c r="C35" s="136"/>
      <x:c r="D35" s="136"/>
      <x:c r="E35" s="136"/>
      <x:c r="F35" s="136"/>
      <x:c r="G35" s="136"/>
      <x:c r="H35" s="136"/>
      <x:c r="I35" s="136"/>
      <x:c r="J35" s="136"/>
      <x:c r="K35" s="136"/>
      <x:c r="L35" s="136"/>
      <x:c r="M35" s="136"/>
      <x:c r="N35" s="136"/>
      <x:c r="O35" s="136"/>
      <x:c r="P35" s="136"/>
      <x:c r="Q35" s="136"/>
      <x:c r="R35" s="136"/>
      <x:c r="S35" s="136"/>
      <x:c r="T35" s="136"/>
      <x:c r="U35" s="136"/>
      <x:c r="V35" s="136"/>
      <x:c r="W35" s="136"/>
      <x:c r="X35" s="136"/>
      <x:c r="Y35" s="136"/>
      <x:c r="Z35" s="136"/>
    </x:row>
    <x:row r="36">
      <x:c r="A36" s="136"/>
      <x:c r="B36" s="136"/>
      <x:c r="C36" s="136"/>
      <x:c r="D36" s="136"/>
      <x:c r="E36" s="136"/>
      <x:c r="F36" s="136"/>
      <x:c r="G36" s="136"/>
      <x:c r="H36" s="136"/>
      <x:c r="I36" s="136"/>
      <x:c r="J36" s="136"/>
      <x:c r="K36" s="136"/>
      <x:c r="L36" s="136"/>
      <x:c r="M36" s="136"/>
      <x:c r="N36" s="136"/>
      <x:c r="O36" s="136"/>
      <x:c r="P36" s="136"/>
      <x:c r="Q36" s="136"/>
      <x:c r="R36" s="136"/>
      <x:c r="S36" s="136"/>
      <x:c r="T36" s="136"/>
      <x:c r="U36" s="136"/>
      <x:c r="V36" s="136"/>
      <x:c r="W36" s="136"/>
      <x:c r="X36" s="136"/>
      <x:c r="Y36" s="136"/>
      <x:c r="Z36" s="136"/>
    </x:row>
    <x:row r="37">
      <x:c r="A37" s="136"/>
      <x:c r="B37" s="136"/>
      <x:c r="C37" s="136"/>
      <x:c r="D37" s="136"/>
      <x:c r="E37" s="136"/>
      <x:c r="F37" s="136"/>
      <x:c r="G37" s="136"/>
      <x:c r="H37" s="136"/>
      <x:c r="I37" s="136"/>
      <x:c r="J37" s="136"/>
      <x:c r="K37" s="136"/>
      <x:c r="L37" s="136"/>
      <x:c r="M37" s="136"/>
      <x:c r="N37" s="136"/>
      <x:c r="O37" s="136"/>
      <x:c r="P37" s="136"/>
      <x:c r="Q37" s="136"/>
      <x:c r="R37" s="136"/>
      <x:c r="S37" s="136"/>
      <x:c r="T37" s="136"/>
      <x:c r="U37" s="136"/>
      <x:c r="V37" s="136"/>
      <x:c r="W37" s="136"/>
      <x:c r="X37" s="136"/>
      <x:c r="Y37" s="136"/>
      <x:c r="Z37" s="136"/>
    </x:row>
    <x:row r="38">
      <x:c r="A38" s="136"/>
      <x:c r="B38" s="136"/>
      <x:c r="C38" s="136"/>
      <x:c r="D38" s="136"/>
      <x:c r="E38" s="136"/>
      <x:c r="F38" s="136"/>
      <x:c r="G38" s="136"/>
      <x:c r="H38" s="136"/>
      <x:c r="I38" s="136"/>
      <x:c r="J38" s="136"/>
      <x:c r="K38" s="136"/>
      <x:c r="L38" s="136"/>
      <x:c r="M38" s="136"/>
      <x:c r="N38" s="136"/>
      <x:c r="O38" s="136"/>
      <x:c r="P38" s="136"/>
      <x:c r="Q38" s="136"/>
      <x:c r="R38" s="136"/>
      <x:c r="S38" s="136"/>
      <x:c r="T38" s="136"/>
      <x:c r="U38" s="136"/>
      <x:c r="V38" s="136"/>
      <x:c r="W38" s="136"/>
      <x:c r="X38" s="136"/>
      <x:c r="Y38" s="136"/>
      <x:c r="Z38" s="136"/>
    </x:row>
    <x:row r="39">
      <x:c r="A39" s="136"/>
      <x:c r="B39" s="136"/>
      <x:c r="C39" s="136"/>
      <x:c r="D39" s="136"/>
      <x:c r="E39" s="136"/>
      <x:c r="F39" s="136"/>
      <x:c r="G39" s="136"/>
      <x:c r="H39" s="136"/>
      <x:c r="I39" s="136"/>
      <x:c r="J39" s="136"/>
      <x:c r="K39" s="136"/>
      <x:c r="L39" s="136"/>
      <x:c r="M39" s="136"/>
      <x:c r="N39" s="136"/>
      <x:c r="O39" s="136"/>
      <x:c r="P39" s="136"/>
      <x:c r="Q39" s="136"/>
      <x:c r="R39" s="136"/>
      <x:c r="S39" s="136"/>
      <x:c r="T39" s="136"/>
      <x:c r="U39" s="136"/>
      <x:c r="V39" s="136"/>
      <x:c r="W39" s="136"/>
      <x:c r="X39" s="136"/>
      <x:c r="Y39" s="136"/>
      <x:c r="Z39" s="136"/>
    </x:row>
    <x:row r="40">
      <x:c r="A40" s="136"/>
      <x:c r="B40" s="136"/>
      <x:c r="C40" s="136"/>
      <x:c r="D40" s="136"/>
      <x:c r="E40" s="136"/>
      <x:c r="F40" s="136"/>
      <x:c r="G40" s="136"/>
      <x:c r="H40" s="136"/>
      <x:c r="I40" s="136"/>
      <x:c r="J40" s="136"/>
      <x:c r="K40" s="136"/>
      <x:c r="L40" s="136"/>
      <x:c r="M40" s="136"/>
      <x:c r="N40" s="136"/>
      <x:c r="O40" s="136"/>
      <x:c r="P40" s="136"/>
      <x:c r="Q40" s="136"/>
      <x:c r="R40" s="136"/>
      <x:c r="S40" s="136"/>
      <x:c r="T40" s="136"/>
      <x:c r="U40" s="136"/>
      <x:c r="V40" s="136"/>
      <x:c r="W40" s="136"/>
      <x:c r="X40" s="136"/>
      <x:c r="Y40" s="136"/>
      <x:c r="Z40" s="136"/>
    </x:row>
    <x:row r="41">
      <x:c r="A41" s="136"/>
      <x:c r="B41" s="136"/>
      <x:c r="C41" s="136"/>
      <x:c r="D41" s="136"/>
      <x:c r="E41" s="136"/>
      <x:c r="F41" s="136"/>
      <x:c r="G41" s="136"/>
      <x:c r="H41" s="136"/>
      <x:c r="I41" s="136"/>
      <x:c r="J41" s="136"/>
      <x:c r="K41" s="136"/>
      <x:c r="L41" s="136"/>
      <x:c r="M41" s="136"/>
      <x:c r="N41" s="136"/>
      <x:c r="O41" s="136"/>
      <x:c r="P41" s="136"/>
      <x:c r="Q41" s="136"/>
      <x:c r="R41" s="136"/>
      <x:c r="S41" s="136"/>
      <x:c r="T41" s="136"/>
      <x:c r="U41" s="136"/>
      <x:c r="V41" s="136"/>
      <x:c r="W41" s="136"/>
      <x:c r="X41" s="136"/>
      <x:c r="Y41" s="136"/>
      <x:c r="Z41" s="136"/>
    </x:row>
    <x:row r="42">
      <x:c r="A42" s="136"/>
      <x:c r="B42" s="136"/>
      <x:c r="C42" s="136"/>
      <x:c r="D42" s="136"/>
      <x:c r="E42" s="136"/>
      <x:c r="F42" s="136"/>
      <x:c r="G42" s="136"/>
      <x:c r="H42" s="136"/>
      <x:c r="I42" s="136"/>
      <x:c r="J42" s="136"/>
      <x:c r="K42" s="136"/>
      <x:c r="L42" s="136"/>
      <x:c r="M42" s="136"/>
      <x:c r="N42" s="136"/>
      <x:c r="O42" s="136"/>
      <x:c r="P42" s="136"/>
      <x:c r="Q42" s="136"/>
      <x:c r="R42" s="136"/>
      <x:c r="S42" s="136"/>
      <x:c r="T42" s="136"/>
      <x:c r="U42" s="136"/>
      <x:c r="V42" s="136"/>
      <x:c r="W42" s="136"/>
      <x:c r="X42" s="136"/>
      <x:c r="Y42" s="136"/>
      <x:c r="Z42" s="136"/>
    </x:row>
    <x:row r="43">
      <x:c r="A43" s="136"/>
      <x:c r="B43" s="136"/>
      <x:c r="C43" s="136"/>
      <x:c r="D43" s="136"/>
      <x:c r="E43" s="136"/>
      <x:c r="F43" s="136"/>
      <x:c r="G43" s="136"/>
      <x:c r="H43" s="136"/>
      <x:c r="I43" s="136"/>
      <x:c r="J43" s="136"/>
      <x:c r="K43" s="136"/>
      <x:c r="L43" s="136"/>
      <x:c r="M43" s="136"/>
      <x:c r="N43" s="136"/>
      <x:c r="O43" s="136"/>
      <x:c r="P43" s="136"/>
      <x:c r="Q43" s="136"/>
      <x:c r="R43" s="136"/>
      <x:c r="S43" s="136"/>
      <x:c r="T43" s="136"/>
      <x:c r="U43" s="136"/>
      <x:c r="V43" s="136"/>
      <x:c r="W43" s="136"/>
      <x:c r="X43" s="136"/>
      <x:c r="Y43" s="136"/>
      <x:c r="Z43" s="136"/>
    </x:row>
    <x:row r="44">
      <x:c r="A44" s="136"/>
      <x:c r="B44" s="136"/>
      <x:c r="C44" s="136"/>
      <x:c r="D44" s="136"/>
      <x:c r="E44" s="136"/>
      <x:c r="F44" s="136"/>
      <x:c r="G44" s="136"/>
      <x:c r="H44" s="136"/>
      <x:c r="I44" s="136"/>
      <x:c r="J44" s="136"/>
      <x:c r="K44" s="136"/>
      <x:c r="L44" s="136"/>
      <x:c r="M44" s="136"/>
      <x:c r="N44" s="136"/>
      <x:c r="O44" s="136"/>
      <x:c r="P44" s="136"/>
      <x:c r="Q44" s="136"/>
      <x:c r="R44" s="136"/>
      <x:c r="S44" s="136"/>
      <x:c r="T44" s="136"/>
      <x:c r="U44" s="136"/>
      <x:c r="V44" s="136"/>
      <x:c r="W44" s="136"/>
      <x:c r="X44" s="136"/>
      <x:c r="Y44" s="136"/>
      <x:c r="Z44" s="136"/>
    </x:row>
    <x:row r="45">
      <x:c r="A45" s="136"/>
      <x:c r="B45" s="136"/>
      <x:c r="C45" s="136"/>
      <x:c r="D45" s="136"/>
      <x:c r="E45" s="136"/>
      <x:c r="F45" s="136"/>
      <x:c r="G45" s="136"/>
      <x:c r="H45" s="136"/>
      <x:c r="I45" s="136"/>
      <x:c r="J45" s="136"/>
      <x:c r="K45" s="136"/>
      <x:c r="L45" s="136"/>
      <x:c r="M45" s="136"/>
      <x:c r="N45" s="136"/>
      <x:c r="O45" s="136"/>
      <x:c r="P45" s="136"/>
      <x:c r="Q45" s="136"/>
      <x:c r="R45" s="136"/>
      <x:c r="S45" s="136"/>
      <x:c r="T45" s="136"/>
      <x:c r="U45" s="136"/>
      <x:c r="V45" s="136"/>
      <x:c r="W45" s="136"/>
      <x:c r="X45" s="136"/>
      <x:c r="Y45" s="136"/>
      <x:c r="Z45" s="136"/>
    </x:row>
    <x:row r="46">
      <x:c r="A46" s="136"/>
      <x:c r="B46" s="136"/>
      <x:c r="C46" s="136"/>
      <x:c r="D46" s="136"/>
      <x:c r="E46" s="136"/>
      <x:c r="F46" s="136"/>
      <x:c r="G46" s="136"/>
      <x:c r="H46" s="136"/>
      <x:c r="I46" s="136"/>
      <x:c r="J46" s="136"/>
      <x:c r="K46" s="136"/>
      <x:c r="L46" s="136"/>
      <x:c r="M46" s="136"/>
      <x:c r="N46" s="136"/>
      <x:c r="O46" s="136"/>
      <x:c r="P46" s="136"/>
      <x:c r="Q46" s="136"/>
      <x:c r="R46" s="136"/>
      <x:c r="S46" s="136"/>
      <x:c r="T46" s="136"/>
      <x:c r="U46" s="136"/>
      <x:c r="V46" s="136"/>
      <x:c r="W46" s="136"/>
      <x:c r="X46" s="136"/>
      <x:c r="Y46" s="136"/>
      <x:c r="Z46" s="136"/>
    </x:row>
    <x:row r="47">
      <x:c r="A47" s="136"/>
      <x:c r="B47" s="136"/>
      <x:c r="C47" s="136"/>
      <x:c r="D47" s="136"/>
      <x:c r="E47" s="136"/>
      <x:c r="F47" s="136"/>
      <x:c r="G47" s="136"/>
      <x:c r="H47" s="136"/>
      <x:c r="I47" s="136"/>
      <x:c r="J47" s="136"/>
      <x:c r="K47" s="136"/>
      <x:c r="L47" s="136"/>
      <x:c r="M47" s="136"/>
      <x:c r="N47" s="136"/>
      <x:c r="O47" s="136"/>
      <x:c r="P47" s="136"/>
      <x:c r="Q47" s="136"/>
      <x:c r="R47" s="136"/>
      <x:c r="S47" s="136"/>
      <x:c r="T47" s="136"/>
      <x:c r="U47" s="136"/>
      <x:c r="V47" s="136"/>
      <x:c r="W47" s="136"/>
      <x:c r="X47" s="136"/>
      <x:c r="Y47" s="136"/>
      <x:c r="Z47" s="136"/>
    </x:row>
    <x:row r="48">
      <x:c r="A48" s="136"/>
      <x:c r="B48" s="136"/>
      <x:c r="C48" s="136"/>
      <x:c r="D48" s="136"/>
      <x:c r="E48" s="136"/>
      <x:c r="F48" s="136"/>
      <x:c r="G48" s="136"/>
      <x:c r="H48" s="136"/>
      <x:c r="I48" s="136"/>
      <x:c r="J48" s="136"/>
      <x:c r="K48" s="136"/>
      <x:c r="L48" s="136"/>
      <x:c r="M48" s="136"/>
      <x:c r="N48" s="136"/>
      <x:c r="O48" s="136"/>
      <x:c r="P48" s="136"/>
      <x:c r="Q48" s="136"/>
      <x:c r="R48" s="136"/>
      <x:c r="S48" s="136"/>
      <x:c r="T48" s="136"/>
      <x:c r="U48" s="136"/>
      <x:c r="V48" s="136"/>
      <x:c r="W48" s="136"/>
      <x:c r="X48" s="136"/>
      <x:c r="Y48" s="136"/>
      <x:c r="Z48" s="136"/>
    </x:row>
    <x:row r="49">
      <x:c r="A49" s="136"/>
      <x:c r="B49" s="136"/>
      <x:c r="C49" s="136"/>
      <x:c r="D49" s="136"/>
      <x:c r="E49" s="136"/>
      <x:c r="F49" s="136"/>
      <x:c r="G49" s="136"/>
      <x:c r="H49" s="136"/>
      <x:c r="I49" s="136"/>
      <x:c r="J49" s="136"/>
      <x:c r="K49" s="136"/>
      <x:c r="L49" s="136"/>
      <x:c r="M49" s="136"/>
      <x:c r="N49" s="136"/>
      <x:c r="O49" s="136"/>
      <x:c r="P49" s="136"/>
      <x:c r="Q49" s="136"/>
      <x:c r="R49" s="136"/>
      <x:c r="S49" s="136"/>
      <x:c r="T49" s="136"/>
      <x:c r="U49" s="136"/>
      <x:c r="V49" s="136"/>
      <x:c r="W49" s="136"/>
      <x:c r="X49" s="136"/>
      <x:c r="Y49" s="136"/>
      <x:c r="Z49" s="136"/>
    </x:row>
    <x:row r="50">
      <x:c r="A50" s="136"/>
      <x:c r="B50" s="136"/>
      <x:c r="C50" s="136"/>
      <x:c r="D50" s="136"/>
      <x:c r="E50" s="136"/>
      <x:c r="F50" s="136"/>
      <x:c r="G50" s="136"/>
      <x:c r="H50" s="136"/>
      <x:c r="I50" s="136"/>
      <x:c r="J50" s="136"/>
      <x:c r="K50" s="136"/>
      <x:c r="L50" s="136"/>
      <x:c r="M50" s="136"/>
      <x:c r="N50" s="136"/>
      <x:c r="O50" s="136"/>
      <x:c r="P50" s="136"/>
      <x:c r="Q50" s="136"/>
      <x:c r="R50" s="136"/>
      <x:c r="S50" s="136"/>
      <x:c r="T50" s="136"/>
      <x:c r="U50" s="136"/>
      <x:c r="V50" s="136"/>
      <x:c r="W50" s="136"/>
      <x:c r="X50" s="136"/>
      <x:c r="Y50" s="136"/>
      <x:c r="Z50" s="136"/>
    </x:row>
    <x:row r="51">
      <x:c r="A51" s="136"/>
      <x:c r="B51" s="136"/>
      <x:c r="C51" s="136"/>
      <x:c r="D51" s="136"/>
      <x:c r="E51" s="136"/>
      <x:c r="F51" s="136"/>
      <x:c r="G51" s="136"/>
      <x:c r="H51" s="136"/>
      <x:c r="I51" s="136"/>
      <x:c r="J51" s="136"/>
      <x:c r="K51" s="136"/>
      <x:c r="L51" s="136"/>
      <x:c r="M51" s="136"/>
      <x:c r="N51" s="136"/>
      <x:c r="O51" s="136"/>
      <x:c r="P51" s="136"/>
      <x:c r="Q51" s="136"/>
      <x:c r="R51" s="136"/>
      <x:c r="S51" s="136"/>
      <x:c r="T51" s="136"/>
      <x:c r="U51" s="136"/>
      <x:c r="V51" s="136"/>
      <x:c r="W51" s="136"/>
      <x:c r="X51" s="136"/>
      <x:c r="Y51" s="136"/>
      <x:c r="Z51" s="136"/>
    </x:row>
    <x:row r="52">
      <x:c r="A52" s="136"/>
      <x:c r="B52" s="136"/>
      <x:c r="C52" s="136"/>
      <x:c r="D52" s="136"/>
      <x:c r="E52" s="136"/>
      <x:c r="F52" s="136"/>
      <x:c r="G52" s="136"/>
      <x:c r="H52" s="136"/>
      <x:c r="I52" s="136"/>
      <x:c r="J52" s="136"/>
      <x:c r="K52" s="136"/>
      <x:c r="L52" s="136"/>
      <x:c r="M52" s="136"/>
      <x:c r="N52" s="136"/>
      <x:c r="O52" s="136"/>
      <x:c r="P52" s="136"/>
      <x:c r="Q52" s="136"/>
      <x:c r="R52" s="136"/>
      <x:c r="S52" s="136"/>
      <x:c r="T52" s="136"/>
      <x:c r="U52" s="136"/>
      <x:c r="V52" s="136"/>
      <x:c r="W52" s="136"/>
      <x:c r="X52" s="136"/>
      <x:c r="Y52" s="136"/>
      <x:c r="Z52" s="136"/>
    </x:row>
    <x:row r="53">
      <x:c r="A53" s="136"/>
      <x:c r="B53" s="136"/>
      <x:c r="C53" s="136"/>
      <x:c r="D53" s="136"/>
      <x:c r="E53" s="136"/>
      <x:c r="F53" s="136"/>
      <x:c r="G53" s="136"/>
      <x:c r="H53" s="136"/>
      <x:c r="I53" s="136"/>
      <x:c r="J53" s="136"/>
      <x:c r="K53" s="136"/>
      <x:c r="L53" s="136"/>
      <x:c r="M53" s="136"/>
      <x:c r="N53" s="136"/>
      <x:c r="O53" s="136"/>
      <x:c r="P53" s="136"/>
      <x:c r="Q53" s="136"/>
      <x:c r="R53" s="136"/>
      <x:c r="S53" s="136"/>
      <x:c r="T53" s="136"/>
      <x:c r="U53" s="136"/>
      <x:c r="V53" s="136"/>
      <x:c r="W53" s="136"/>
      <x:c r="X53" s="136"/>
      <x:c r="Y53" s="136"/>
      <x:c r="Z53" s="136"/>
    </x:row>
    <x:row r="54">
      <x:c r="A54" s="136"/>
      <x:c r="B54" s="136"/>
      <x:c r="C54" s="136"/>
      <x:c r="D54" s="136"/>
      <x:c r="E54" s="136"/>
      <x:c r="F54" s="136"/>
      <x:c r="G54" s="136"/>
      <x:c r="H54" s="136"/>
      <x:c r="I54" s="136"/>
      <x:c r="J54" s="136"/>
      <x:c r="K54" s="136"/>
      <x:c r="L54" s="136"/>
      <x:c r="M54" s="136"/>
      <x:c r="N54" s="136"/>
      <x:c r="O54" s="136"/>
      <x:c r="P54" s="136"/>
      <x:c r="Q54" s="136"/>
      <x:c r="R54" s="136"/>
      <x:c r="S54" s="136"/>
      <x:c r="T54" s="136"/>
      <x:c r="U54" s="136"/>
      <x:c r="V54" s="136"/>
      <x:c r="W54" s="136"/>
      <x:c r="X54" s="136"/>
      <x:c r="Y54" s="136"/>
      <x:c r="Z54" s="136"/>
    </x:row>
    <x:row r="55">
      <x:c r="A55" s="136"/>
      <x:c r="B55" s="136"/>
      <x:c r="C55" s="136"/>
      <x:c r="D55" s="136"/>
      <x:c r="E55" s="136"/>
      <x:c r="F55" s="136"/>
      <x:c r="G55" s="136"/>
      <x:c r="H55" s="136"/>
      <x:c r="I55" s="136"/>
      <x:c r="J55" s="136"/>
      <x:c r="K55" s="136"/>
      <x:c r="L55" s="136"/>
      <x:c r="M55" s="136"/>
      <x:c r="N55" s="136"/>
      <x:c r="O55" s="136"/>
      <x:c r="P55" s="136"/>
      <x:c r="Q55" s="136"/>
      <x:c r="R55" s="136"/>
      <x:c r="S55" s="136"/>
      <x:c r="T55" s="136"/>
      <x:c r="U55" s="136"/>
      <x:c r="V55" s="136"/>
      <x:c r="W55" s="136"/>
      <x:c r="X55" s="136"/>
      <x:c r="Y55" s="136"/>
      <x:c r="Z55" s="136"/>
    </x:row>
    <x:row r="56">
      <x:c r="A56" s="136"/>
      <x:c r="B56" s="136"/>
      <x:c r="C56" s="136"/>
      <x:c r="D56" s="136"/>
      <x:c r="E56" s="136"/>
      <x:c r="F56" s="136"/>
      <x:c r="G56" s="136"/>
      <x:c r="H56" s="136"/>
      <x:c r="I56" s="136"/>
      <x:c r="J56" s="136"/>
      <x:c r="K56" s="136"/>
      <x:c r="L56" s="136"/>
      <x:c r="M56" s="136"/>
      <x:c r="N56" s="136"/>
      <x:c r="O56" s="136"/>
      <x:c r="P56" s="136"/>
      <x:c r="Q56" s="136"/>
      <x:c r="R56" s="136"/>
      <x:c r="S56" s="136"/>
      <x:c r="T56" s="136"/>
      <x:c r="U56" s="136"/>
      <x:c r="V56" s="136"/>
      <x:c r="W56" s="136"/>
      <x:c r="X56" s="136"/>
      <x:c r="Y56" s="136"/>
      <x:c r="Z56" s="136"/>
    </x:row>
    <x:row r="57">
      <x:c r="A57" s="136"/>
      <x:c r="B57" s="136"/>
      <x:c r="C57" s="136"/>
      <x:c r="D57" s="136"/>
      <x:c r="E57" s="136"/>
      <x:c r="F57" s="136"/>
      <x:c r="G57" s="136"/>
      <x:c r="H57" s="136"/>
      <x:c r="I57" s="136"/>
      <x:c r="J57" s="136"/>
      <x:c r="K57" s="136"/>
      <x:c r="L57" s="136"/>
      <x:c r="M57" s="136"/>
      <x:c r="N57" s="136"/>
      <x:c r="O57" s="136"/>
      <x:c r="P57" s="136"/>
      <x:c r="Q57" s="136"/>
      <x:c r="R57" s="136"/>
      <x:c r="S57" s="136"/>
      <x:c r="T57" s="136"/>
      <x:c r="U57" s="136"/>
      <x:c r="V57" s="136"/>
      <x:c r="W57" s="136"/>
      <x:c r="X57" s="136"/>
      <x:c r="Y57" s="136"/>
      <x:c r="Z57" s="136"/>
    </x:row>
    <x:row r="58">
      <x:c r="A58" s="136"/>
      <x:c r="B58" s="136"/>
      <x:c r="C58" s="136"/>
      <x:c r="D58" s="136"/>
      <x:c r="E58" s="136"/>
      <x:c r="F58" s="136"/>
      <x:c r="G58" s="136"/>
      <x:c r="H58" s="136"/>
      <x:c r="I58" s="136"/>
      <x:c r="J58" s="136"/>
      <x:c r="K58" s="136"/>
      <x:c r="L58" s="136"/>
      <x:c r="M58" s="136"/>
      <x:c r="N58" s="136"/>
      <x:c r="O58" s="136"/>
      <x:c r="P58" s="136"/>
      <x:c r="Q58" s="136"/>
      <x:c r="R58" s="136"/>
      <x:c r="S58" s="136"/>
      <x:c r="T58" s="136"/>
      <x:c r="U58" s="136"/>
      <x:c r="V58" s="136"/>
      <x:c r="W58" s="136"/>
      <x:c r="X58" s="136"/>
      <x:c r="Y58" s="136"/>
      <x:c r="Z58" s="136"/>
    </x:row>
    <x:row r="59">
      <x:c r="A59" s="136"/>
      <x:c r="B59" s="136"/>
      <x:c r="C59" s="136"/>
      <x:c r="D59" s="136"/>
      <x:c r="E59" s="136"/>
      <x:c r="F59" s="136"/>
      <x:c r="G59" s="136"/>
      <x:c r="H59" s="136"/>
      <x:c r="I59" s="136"/>
      <x:c r="J59" s="136"/>
      <x:c r="K59" s="136"/>
      <x:c r="L59" s="136"/>
      <x:c r="M59" s="136"/>
      <x:c r="N59" s="136"/>
      <x:c r="O59" s="136"/>
      <x:c r="P59" s="136"/>
      <x:c r="Q59" s="136"/>
      <x:c r="R59" s="136"/>
      <x:c r="S59" s="136"/>
      <x:c r="T59" s="136"/>
      <x:c r="U59" s="136"/>
      <x:c r="V59" s="136"/>
      <x:c r="W59" s="136"/>
      <x:c r="X59" s="136"/>
      <x:c r="Y59" s="136"/>
      <x:c r="Z59" s="136"/>
    </x:row>
    <x:row r="60">
      <x:c r="A60" s="136"/>
      <x:c r="B60" s="136"/>
      <x:c r="C60" s="136"/>
      <x:c r="D60" s="136"/>
      <x:c r="E60" s="136"/>
      <x:c r="F60" s="136"/>
      <x:c r="G60" s="136"/>
      <x:c r="H60" s="136"/>
      <x:c r="I60" s="136"/>
      <x:c r="J60" s="136"/>
      <x:c r="K60" s="136"/>
      <x:c r="L60" s="136"/>
      <x:c r="M60" s="136"/>
      <x:c r="N60" s="136"/>
      <x:c r="O60" s="136"/>
      <x:c r="P60" s="136"/>
      <x:c r="Q60" s="136"/>
      <x:c r="R60" s="136"/>
      <x:c r="S60" s="136"/>
      <x:c r="T60" s="136"/>
      <x:c r="U60" s="136"/>
      <x:c r="V60" s="136"/>
      <x:c r="W60" s="136"/>
      <x:c r="X60" s="136"/>
      <x:c r="Y60" s="136"/>
      <x:c r="Z60" s="136"/>
    </x:row>
    <x:row r="61">
      <x:c r="A61" s="136"/>
      <x:c r="B61" s="136"/>
      <x:c r="C61" s="136"/>
      <x:c r="D61" s="136"/>
      <x:c r="E61" s="136"/>
      <x:c r="F61" s="136"/>
      <x:c r="G61" s="136"/>
      <x:c r="H61" s="136"/>
      <x:c r="I61" s="136"/>
      <x:c r="J61" s="136"/>
      <x:c r="K61" s="136"/>
      <x:c r="L61" s="136"/>
      <x:c r="M61" s="136"/>
      <x:c r="N61" s="136"/>
      <x:c r="O61" s="136"/>
      <x:c r="P61" s="136"/>
      <x:c r="Q61" s="136"/>
      <x:c r="R61" s="136"/>
      <x:c r="S61" s="136"/>
      <x:c r="T61" s="136"/>
      <x:c r="U61" s="136"/>
      <x:c r="V61" s="136"/>
      <x:c r="W61" s="136"/>
      <x:c r="X61" s="136"/>
      <x:c r="Y61" s="136"/>
      <x:c r="Z61" s="136"/>
    </x:row>
    <x:row r="62">
      <x:c r="A62" s="136"/>
      <x:c r="B62" s="136"/>
      <x:c r="C62" s="136"/>
      <x:c r="D62" s="136"/>
      <x:c r="E62" s="136"/>
      <x:c r="F62" s="136"/>
      <x:c r="G62" s="136"/>
      <x:c r="H62" s="136"/>
      <x:c r="I62" s="136"/>
      <x:c r="J62" s="136"/>
      <x:c r="K62" s="136"/>
      <x:c r="L62" s="136"/>
      <x:c r="M62" s="136"/>
      <x:c r="N62" s="136"/>
      <x:c r="O62" s="136"/>
      <x:c r="P62" s="136"/>
      <x:c r="Q62" s="136"/>
      <x:c r="R62" s="136"/>
      <x:c r="S62" s="136"/>
      <x:c r="T62" s="136"/>
      <x:c r="U62" s="136"/>
      <x:c r="V62" s="136"/>
      <x:c r="W62" s="136"/>
      <x:c r="X62" s="136"/>
      <x:c r="Y62" s="136"/>
      <x:c r="Z62" s="136"/>
    </x:row>
    <x:row r="63">
      <x:c r="A63" s="136"/>
      <x:c r="B63" s="136"/>
      <x:c r="C63" s="136"/>
      <x:c r="D63" s="136"/>
      <x:c r="E63" s="136"/>
      <x:c r="F63" s="136"/>
      <x:c r="G63" s="136"/>
      <x:c r="H63" s="136"/>
      <x:c r="I63" s="136"/>
      <x:c r="J63" s="136"/>
      <x:c r="K63" s="136"/>
      <x:c r="L63" s="136"/>
      <x:c r="M63" s="136"/>
      <x:c r="N63" s="136"/>
      <x:c r="O63" s="136"/>
      <x:c r="P63" s="136"/>
      <x:c r="Q63" s="136"/>
      <x:c r="R63" s="136"/>
      <x:c r="S63" s="136"/>
      <x:c r="T63" s="136"/>
      <x:c r="U63" s="136"/>
      <x:c r="V63" s="136"/>
      <x:c r="W63" s="136"/>
      <x:c r="X63" s="136"/>
      <x:c r="Y63" s="136"/>
      <x:c r="Z63" s="136"/>
    </x:row>
    <x:row r="64">
      <x:c r="A64" s="136"/>
      <x:c r="B64" s="136"/>
      <x:c r="C64" s="136"/>
      <x:c r="D64" s="136"/>
      <x:c r="E64" s="136"/>
      <x:c r="F64" s="136"/>
      <x:c r="G64" s="136"/>
      <x:c r="H64" s="136"/>
      <x:c r="I64" s="136"/>
      <x:c r="J64" s="136"/>
      <x:c r="K64" s="136"/>
      <x:c r="L64" s="136"/>
      <x:c r="M64" s="136"/>
      <x:c r="N64" s="136"/>
      <x:c r="O64" s="136"/>
      <x:c r="P64" s="136"/>
      <x:c r="Q64" s="136"/>
      <x:c r="R64" s="136"/>
      <x:c r="S64" s="136"/>
      <x:c r="T64" s="136"/>
      <x:c r="U64" s="136"/>
      <x:c r="V64" s="136"/>
      <x:c r="W64" s="136"/>
      <x:c r="X64" s="136"/>
      <x:c r="Y64" s="136"/>
      <x:c r="Z64" s="136"/>
    </x:row>
    <x:row r="65">
      <x:c r="A65" s="136"/>
      <x:c r="B65" s="136"/>
      <x:c r="C65" s="136"/>
      <x:c r="D65" s="136"/>
      <x:c r="E65" s="136"/>
      <x:c r="F65" s="136"/>
      <x:c r="G65" s="136"/>
      <x:c r="H65" s="136"/>
      <x:c r="I65" s="136"/>
      <x:c r="J65" s="136"/>
      <x:c r="K65" s="136"/>
      <x:c r="L65" s="136"/>
      <x:c r="M65" s="136"/>
      <x:c r="N65" s="136"/>
      <x:c r="O65" s="136"/>
      <x:c r="P65" s="136"/>
      <x:c r="Q65" s="136"/>
      <x:c r="R65" s="136"/>
      <x:c r="S65" s="136"/>
      <x:c r="T65" s="136"/>
      <x:c r="U65" s="136"/>
      <x:c r="V65" s="136"/>
      <x:c r="W65" s="136"/>
      <x:c r="X65" s="136"/>
      <x:c r="Y65" s="136"/>
      <x:c r="Z65" s="136"/>
    </x:row>
    <x:row r="66">
      <x:c r="A66" s="136"/>
      <x:c r="B66" s="136"/>
      <x:c r="C66" s="136"/>
      <x:c r="D66" s="136"/>
      <x:c r="E66" s="136"/>
      <x:c r="F66" s="136"/>
      <x:c r="G66" s="136"/>
      <x:c r="H66" s="136"/>
      <x:c r="I66" s="136"/>
      <x:c r="J66" s="136"/>
      <x:c r="K66" s="136"/>
      <x:c r="L66" s="136"/>
      <x:c r="M66" s="136"/>
      <x:c r="N66" s="136"/>
      <x:c r="O66" s="136"/>
      <x:c r="P66" s="136"/>
      <x:c r="Q66" s="136"/>
      <x:c r="R66" s="136"/>
      <x:c r="S66" s="136"/>
      <x:c r="T66" s="136"/>
      <x:c r="U66" s="136"/>
      <x:c r="V66" s="136"/>
      <x:c r="W66" s="136"/>
      <x:c r="X66" s="136"/>
      <x:c r="Y66" s="136"/>
      <x:c r="Z66" s="136"/>
    </x:row>
    <x:row r="67">
      <x:c r="A67" s="136"/>
      <x:c r="B67" s="136"/>
      <x:c r="C67" s="136"/>
      <x:c r="D67" s="136"/>
      <x:c r="E67" s="136"/>
      <x:c r="F67" s="136"/>
      <x:c r="G67" s="136"/>
      <x:c r="H67" s="136"/>
      <x:c r="I67" s="136"/>
      <x:c r="J67" s="136"/>
      <x:c r="K67" s="136"/>
      <x:c r="L67" s="136"/>
      <x:c r="M67" s="136"/>
      <x:c r="N67" s="136"/>
      <x:c r="O67" s="136"/>
      <x:c r="P67" s="136"/>
      <x:c r="Q67" s="136"/>
      <x:c r="R67" s="136"/>
      <x:c r="S67" s="136"/>
      <x:c r="T67" s="136"/>
      <x:c r="U67" s="136"/>
      <x:c r="V67" s="136"/>
      <x:c r="W67" s="136"/>
      <x:c r="X67" s="136"/>
      <x:c r="Y67" s="136"/>
      <x:c r="Z67" s="136"/>
    </x:row>
    <x:row r="68">
      <x:c r="A68" s="136"/>
      <x:c r="B68" s="136"/>
      <x:c r="C68" s="136"/>
      <x:c r="D68" s="136"/>
      <x:c r="E68" s="136"/>
      <x:c r="F68" s="136"/>
      <x:c r="G68" s="136"/>
      <x:c r="H68" s="136"/>
      <x:c r="I68" s="136"/>
      <x:c r="J68" s="136"/>
      <x:c r="K68" s="136"/>
      <x:c r="L68" s="136"/>
      <x:c r="M68" s="136"/>
      <x:c r="N68" s="136"/>
      <x:c r="O68" s="136"/>
      <x:c r="P68" s="136"/>
      <x:c r="Q68" s="136"/>
      <x:c r="R68" s="136"/>
      <x:c r="S68" s="136"/>
      <x:c r="T68" s="136"/>
      <x:c r="U68" s="136"/>
      <x:c r="V68" s="136"/>
      <x:c r="W68" s="136"/>
      <x:c r="X68" s="136"/>
      <x:c r="Y68" s="136"/>
      <x:c r="Z68" s="136"/>
    </x:row>
    <x:row r="69">
      <x:c r="A69" s="136"/>
      <x:c r="B69" s="136"/>
      <x:c r="C69" s="136"/>
      <x:c r="D69" s="136"/>
      <x:c r="E69" s="136"/>
      <x:c r="F69" s="136"/>
      <x:c r="G69" s="136"/>
      <x:c r="H69" s="136"/>
      <x:c r="I69" s="136"/>
      <x:c r="J69" s="136"/>
      <x:c r="K69" s="136"/>
      <x:c r="L69" s="136"/>
      <x:c r="M69" s="136"/>
      <x:c r="N69" s="136"/>
      <x:c r="O69" s="136"/>
      <x:c r="P69" s="136"/>
      <x:c r="Q69" s="136"/>
      <x:c r="R69" s="136"/>
      <x:c r="S69" s="136"/>
      <x:c r="T69" s="136"/>
      <x:c r="U69" s="136"/>
      <x:c r="V69" s="136"/>
      <x:c r="W69" s="136"/>
      <x:c r="X69" s="136"/>
      <x:c r="Y69" s="136"/>
      <x:c r="Z69" s="136"/>
    </x:row>
    <x:row r="70">
      <x:c r="A70" s="136"/>
      <x:c r="B70" s="136"/>
      <x:c r="C70" s="136"/>
      <x:c r="D70" s="136"/>
      <x:c r="E70" s="136"/>
      <x:c r="F70" s="136"/>
      <x:c r="G70" s="136"/>
      <x:c r="H70" s="136"/>
      <x:c r="I70" s="136"/>
      <x:c r="J70" s="136"/>
      <x:c r="K70" s="136"/>
      <x:c r="L70" s="136"/>
      <x:c r="M70" s="136"/>
      <x:c r="N70" s="136"/>
      <x:c r="O70" s="136"/>
      <x:c r="P70" s="136"/>
      <x:c r="Q70" s="136"/>
      <x:c r="R70" s="136"/>
      <x:c r="S70" s="136"/>
      <x:c r="T70" s="136"/>
      <x:c r="U70" s="136"/>
      <x:c r="V70" s="136"/>
      <x:c r="W70" s="136"/>
      <x:c r="X70" s="136"/>
      <x:c r="Y70" s="136"/>
      <x:c r="Z70" s="136"/>
    </x:row>
    <x:row r="71">
      <x:c r="A71" s="136"/>
      <x:c r="B71" s="136"/>
      <x:c r="C71" s="136"/>
      <x:c r="D71" s="136"/>
      <x:c r="E71" s="136"/>
      <x:c r="F71" s="136"/>
      <x:c r="G71" s="136"/>
      <x:c r="H71" s="136"/>
      <x:c r="I71" s="136"/>
      <x:c r="J71" s="136"/>
      <x:c r="K71" s="136"/>
      <x:c r="L71" s="136"/>
      <x:c r="M71" s="136"/>
      <x:c r="N71" s="136"/>
      <x:c r="O71" s="136"/>
      <x:c r="P71" s="136"/>
      <x:c r="Q71" s="136"/>
      <x:c r="R71" s="136"/>
      <x:c r="S71" s="136"/>
      <x:c r="T71" s="136"/>
      <x:c r="U71" s="136"/>
      <x:c r="V71" s="136"/>
      <x:c r="W71" s="136"/>
      <x:c r="X71" s="136"/>
      <x:c r="Y71" s="136"/>
      <x:c r="Z71" s="136"/>
    </x:row>
    <x:row r="72">
      <x:c r="A72" s="136"/>
      <x:c r="B72" s="136"/>
      <x:c r="C72" s="136"/>
      <x:c r="D72" s="136"/>
      <x:c r="E72" s="136"/>
      <x:c r="F72" s="136"/>
      <x:c r="G72" s="136"/>
      <x:c r="H72" s="136"/>
      <x:c r="I72" s="136"/>
      <x:c r="J72" s="136"/>
      <x:c r="K72" s="136"/>
      <x:c r="L72" s="136"/>
      <x:c r="M72" s="136"/>
      <x:c r="N72" s="136"/>
      <x:c r="O72" s="136"/>
      <x:c r="P72" s="136"/>
      <x:c r="Q72" s="136"/>
      <x:c r="R72" s="136"/>
      <x:c r="S72" s="136"/>
      <x:c r="T72" s="136"/>
      <x:c r="U72" s="136"/>
      <x:c r="V72" s="136"/>
      <x:c r="W72" s="136"/>
      <x:c r="X72" s="136"/>
      <x:c r="Y72" s="136"/>
      <x:c r="Z72" s="136"/>
    </x:row>
    <x:row r="73">
      <x:c r="A73" s="136"/>
      <x:c r="B73" s="136"/>
      <x:c r="C73" s="136"/>
      <x:c r="D73" s="136"/>
      <x:c r="E73" s="136"/>
      <x:c r="F73" s="136"/>
      <x:c r="G73" s="136"/>
      <x:c r="H73" s="136"/>
      <x:c r="I73" s="136"/>
      <x:c r="J73" s="136"/>
      <x:c r="K73" s="136"/>
      <x:c r="L73" s="136"/>
      <x:c r="M73" s="136"/>
      <x:c r="N73" s="136"/>
      <x:c r="O73" s="136"/>
      <x:c r="P73" s="136"/>
      <x:c r="Q73" s="136"/>
      <x:c r="R73" s="136"/>
      <x:c r="S73" s="136"/>
      <x:c r="T73" s="136"/>
      <x:c r="U73" s="136"/>
      <x:c r="V73" s="136"/>
      <x:c r="W73" s="136"/>
      <x:c r="X73" s="136"/>
      <x:c r="Y73" s="136"/>
      <x:c r="Z73" s="136"/>
    </x:row>
    <x:row r="74">
      <x:c r="A74" s="136"/>
      <x:c r="B74" s="136"/>
      <x:c r="C74" s="136"/>
      <x:c r="D74" s="136"/>
      <x:c r="E74" s="136"/>
      <x:c r="F74" s="136"/>
      <x:c r="G74" s="136"/>
      <x:c r="H74" s="136"/>
      <x:c r="I74" s="136"/>
      <x:c r="J74" s="136"/>
      <x:c r="K74" s="136"/>
      <x:c r="L74" s="136"/>
      <x:c r="M74" s="136"/>
      <x:c r="N74" s="136"/>
      <x:c r="O74" s="136"/>
      <x:c r="P74" s="136"/>
      <x:c r="Q74" s="136"/>
      <x:c r="R74" s="136"/>
      <x:c r="S74" s="136"/>
      <x:c r="T74" s="136"/>
      <x:c r="U74" s="136"/>
      <x:c r="V74" s="136"/>
      <x:c r="W74" s="136"/>
      <x:c r="X74" s="136"/>
      <x:c r="Y74" s="136"/>
      <x:c r="Z74" s="136"/>
    </x:row>
    <x:row r="75">
      <x:c r="A75" s="136"/>
      <x:c r="B75" s="136"/>
      <x:c r="C75" s="136"/>
      <x:c r="D75" s="136"/>
      <x:c r="E75" s="136"/>
      <x:c r="F75" s="136"/>
      <x:c r="G75" s="136"/>
      <x:c r="H75" s="136"/>
      <x:c r="I75" s="136"/>
      <x:c r="J75" s="136"/>
      <x:c r="K75" s="136"/>
      <x:c r="L75" s="136"/>
      <x:c r="M75" s="136"/>
      <x:c r="N75" s="136"/>
      <x:c r="O75" s="136"/>
      <x:c r="P75" s="136"/>
      <x:c r="Q75" s="136"/>
      <x:c r="R75" s="136"/>
      <x:c r="S75" s="136"/>
      <x:c r="T75" s="136"/>
      <x:c r="U75" s="136"/>
      <x:c r="V75" s="136"/>
      <x:c r="W75" s="136"/>
      <x:c r="X75" s="136"/>
      <x:c r="Y75" s="136"/>
      <x:c r="Z75" s="136"/>
    </x:row>
    <x:row r="76">
      <x:c r="A76" s="136"/>
      <x:c r="B76" s="136"/>
      <x:c r="C76" s="136"/>
      <x:c r="D76" s="136"/>
      <x:c r="E76" s="136"/>
      <x:c r="F76" s="136"/>
      <x:c r="G76" s="136"/>
      <x:c r="H76" s="136"/>
      <x:c r="I76" s="136"/>
      <x:c r="J76" s="136"/>
      <x:c r="K76" s="136"/>
      <x:c r="L76" s="136"/>
      <x:c r="M76" s="136"/>
      <x:c r="N76" s="136"/>
      <x:c r="O76" s="136"/>
      <x:c r="P76" s="136"/>
      <x:c r="Q76" s="136"/>
      <x:c r="R76" s="136"/>
      <x:c r="S76" s="136"/>
      <x:c r="T76" s="136"/>
      <x:c r="U76" s="136"/>
      <x:c r="V76" s="136"/>
      <x:c r="W76" s="136"/>
      <x:c r="X76" s="136"/>
      <x:c r="Y76" s="136"/>
      <x:c r="Z76" s="136"/>
    </x:row>
    <x:row r="77">
      <x:c r="A77" s="136"/>
      <x:c r="B77" s="136"/>
      <x:c r="C77" s="136"/>
      <x:c r="D77" s="136"/>
      <x:c r="E77" s="136"/>
      <x:c r="F77" s="136"/>
      <x:c r="G77" s="136"/>
      <x:c r="H77" s="136"/>
      <x:c r="I77" s="136"/>
      <x:c r="J77" s="136"/>
      <x:c r="K77" s="136"/>
      <x:c r="L77" s="136"/>
      <x:c r="M77" s="136"/>
      <x:c r="N77" s="136"/>
      <x:c r="O77" s="136"/>
      <x:c r="P77" s="136"/>
      <x:c r="Q77" s="136"/>
      <x:c r="R77" s="136"/>
      <x:c r="S77" s="136"/>
      <x:c r="T77" s="136"/>
      <x:c r="U77" s="136"/>
      <x:c r="V77" s="136"/>
      <x:c r="W77" s="136"/>
      <x:c r="X77" s="136"/>
      <x:c r="Y77" s="136"/>
      <x:c r="Z77" s="136"/>
    </x:row>
    <x:row r="78">
      <x:c r="A78" s="136"/>
      <x:c r="B78" s="136"/>
      <x:c r="C78" s="136"/>
      <x:c r="D78" s="136"/>
      <x:c r="E78" s="136"/>
      <x:c r="F78" s="136"/>
      <x:c r="G78" s="136"/>
      <x:c r="H78" s="136"/>
      <x:c r="I78" s="136"/>
      <x:c r="J78" s="136"/>
      <x:c r="K78" s="136"/>
      <x:c r="L78" s="136"/>
      <x:c r="M78" s="136"/>
      <x:c r="N78" s="136"/>
      <x:c r="O78" s="136"/>
      <x:c r="P78" s="136"/>
      <x:c r="Q78" s="136"/>
      <x:c r="R78" s="136"/>
      <x:c r="S78" s="136"/>
      <x:c r="T78" s="136"/>
      <x:c r="U78" s="136"/>
      <x:c r="V78" s="136"/>
      <x:c r="W78" s="136"/>
      <x:c r="X78" s="136"/>
      <x:c r="Y78" s="136"/>
      <x:c r="Z78" s="136"/>
    </x:row>
    <x:row r="79">
      <x:c r="A79" s="136"/>
      <x:c r="B79" s="136"/>
      <x:c r="C79" s="136"/>
      <x:c r="D79" s="136"/>
      <x:c r="E79" s="136"/>
      <x:c r="F79" s="136"/>
      <x:c r="G79" s="136"/>
      <x:c r="H79" s="136"/>
      <x:c r="I79" s="136"/>
      <x:c r="J79" s="136"/>
      <x:c r="K79" s="136"/>
      <x:c r="L79" s="136"/>
      <x:c r="M79" s="136"/>
      <x:c r="N79" s="136"/>
      <x:c r="O79" s="136"/>
      <x:c r="P79" s="136"/>
      <x:c r="Q79" s="136"/>
      <x:c r="R79" s="136"/>
      <x:c r="S79" s="136"/>
      <x:c r="T79" s="136"/>
      <x:c r="U79" s="136"/>
      <x:c r="V79" s="136"/>
      <x:c r="W79" s="136"/>
      <x:c r="X79" s="136"/>
      <x:c r="Y79" s="136"/>
      <x:c r="Z79" s="136"/>
    </x:row>
    <x:row r="80">
      <x:c r="A80" s="136"/>
      <x:c r="B80" s="136"/>
      <x:c r="C80" s="136"/>
      <x:c r="D80" s="136"/>
      <x:c r="E80" s="136"/>
      <x:c r="F80" s="136"/>
      <x:c r="G80" s="136"/>
      <x:c r="H80" s="136"/>
      <x:c r="I80" s="136"/>
      <x:c r="J80" s="136"/>
      <x:c r="K80" s="136"/>
      <x:c r="L80" s="136"/>
      <x:c r="M80" s="136"/>
      <x:c r="N80" s="136"/>
      <x:c r="O80" s="136"/>
      <x:c r="P80" s="136"/>
      <x:c r="Q80" s="136"/>
      <x:c r="R80" s="136"/>
      <x:c r="S80" s="136"/>
      <x:c r="T80" s="136"/>
      <x:c r="U80" s="136"/>
      <x:c r="V80" s="136"/>
      <x:c r="W80" s="136"/>
      <x:c r="X80" s="136"/>
      <x:c r="Y80" s="136"/>
      <x:c r="Z80" s="136"/>
    </x:row>
    <x:row r="81">
      <x:c r="A81" s="136"/>
      <x:c r="B81" s="136"/>
      <x:c r="C81" s="136"/>
      <x:c r="D81" s="136"/>
      <x:c r="E81" s="136"/>
      <x:c r="F81" s="136"/>
      <x:c r="G81" s="136"/>
      <x:c r="H81" s="136"/>
      <x:c r="I81" s="136"/>
      <x:c r="J81" s="136"/>
      <x:c r="K81" s="136"/>
      <x:c r="L81" s="136"/>
      <x:c r="M81" s="136"/>
      <x:c r="N81" s="136"/>
      <x:c r="O81" s="136"/>
      <x:c r="P81" s="136"/>
      <x:c r="Q81" s="136"/>
      <x:c r="R81" s="136"/>
      <x:c r="S81" s="136"/>
      <x:c r="T81" s="136"/>
      <x:c r="U81" s="136"/>
      <x:c r="V81" s="136"/>
      <x:c r="W81" s="136"/>
      <x:c r="X81" s="136"/>
      <x:c r="Y81" s="136"/>
      <x:c r="Z81" s="136"/>
    </x:row>
    <x:row r="82">
      <x:c r="A82" s="136"/>
      <x:c r="B82" s="136"/>
      <x:c r="C82" s="136"/>
      <x:c r="D82" s="136"/>
      <x:c r="E82" s="136"/>
      <x:c r="F82" s="136"/>
      <x:c r="G82" s="136"/>
      <x:c r="H82" s="136"/>
      <x:c r="I82" s="136"/>
      <x:c r="J82" s="136"/>
      <x:c r="K82" s="136"/>
      <x:c r="L82" s="136"/>
      <x:c r="M82" s="136"/>
      <x:c r="N82" s="136"/>
      <x:c r="O82" s="136"/>
      <x:c r="P82" s="136"/>
      <x:c r="Q82" s="136"/>
      <x:c r="R82" s="136"/>
      <x:c r="S82" s="136"/>
      <x:c r="T82" s="136"/>
      <x:c r="U82" s="136"/>
      <x:c r="V82" s="136"/>
      <x:c r="W82" s="136"/>
      <x:c r="X82" s="136"/>
      <x:c r="Y82" s="136"/>
      <x:c r="Z82" s="136"/>
    </x:row>
    <x:row r="83">
      <x:c r="A83" s="136"/>
      <x:c r="B83" s="136"/>
      <x:c r="C83" s="136"/>
      <x:c r="D83" s="136"/>
      <x:c r="E83" s="136"/>
      <x:c r="F83" s="136"/>
      <x:c r="G83" s="136"/>
      <x:c r="H83" s="136"/>
      <x:c r="I83" s="136"/>
      <x:c r="J83" s="136"/>
      <x:c r="K83" s="136"/>
      <x:c r="L83" s="136"/>
      <x:c r="M83" s="136"/>
      <x:c r="N83" s="136"/>
      <x:c r="O83" s="136"/>
      <x:c r="P83" s="136"/>
      <x:c r="Q83" s="136"/>
      <x:c r="R83" s="136"/>
      <x:c r="S83" s="136"/>
      <x:c r="T83" s="136"/>
      <x:c r="U83" s="136"/>
      <x:c r="V83" s="136"/>
      <x:c r="W83" s="136"/>
      <x:c r="X83" s="136"/>
      <x:c r="Y83" s="136"/>
      <x:c r="Z83" s="136"/>
    </x:row>
    <x:row r="84">
      <x:c r="A84" s="136"/>
      <x:c r="B84" s="136"/>
      <x:c r="C84" s="136"/>
      <x:c r="D84" s="136"/>
      <x:c r="E84" s="136"/>
      <x:c r="F84" s="136"/>
      <x:c r="G84" s="136"/>
      <x:c r="H84" s="136"/>
      <x:c r="I84" s="136"/>
      <x:c r="J84" s="136"/>
      <x:c r="K84" s="136"/>
      <x:c r="L84" s="136"/>
      <x:c r="M84" s="136"/>
      <x:c r="N84" s="136"/>
      <x:c r="O84" s="136"/>
      <x:c r="P84" s="136"/>
      <x:c r="Q84" s="136"/>
      <x:c r="R84" s="136"/>
      <x:c r="S84" s="136"/>
      <x:c r="T84" s="136"/>
      <x:c r="U84" s="136"/>
      <x:c r="V84" s="136"/>
      <x:c r="W84" s="136"/>
      <x:c r="X84" s="136"/>
      <x:c r="Y84" s="136"/>
      <x:c r="Z84" s="136"/>
    </x:row>
    <x:row r="85">
      <x:c r="A85" s="136"/>
      <x:c r="B85" s="136"/>
      <x:c r="C85" s="136"/>
      <x:c r="D85" s="136"/>
      <x:c r="E85" s="136"/>
      <x:c r="F85" s="136"/>
      <x:c r="G85" s="136"/>
      <x:c r="H85" s="136"/>
      <x:c r="I85" s="136"/>
      <x:c r="J85" s="136"/>
      <x:c r="K85" s="136"/>
      <x:c r="L85" s="136"/>
      <x:c r="M85" s="136"/>
      <x:c r="N85" s="136"/>
      <x:c r="O85" s="136"/>
      <x:c r="P85" s="136"/>
      <x:c r="Q85" s="136"/>
      <x:c r="R85" s="136"/>
      <x:c r="S85" s="136"/>
      <x:c r="T85" s="136"/>
      <x:c r="U85" s="136"/>
      <x:c r="V85" s="136"/>
      <x:c r="W85" s="136"/>
      <x:c r="X85" s="136"/>
      <x:c r="Y85" s="136"/>
      <x:c r="Z85" s="136"/>
    </x:row>
    <x:row r="86">
      <x:c r="A86" s="136"/>
      <x:c r="B86" s="136"/>
      <x:c r="C86" s="136"/>
      <x:c r="D86" s="136"/>
      <x:c r="E86" s="136"/>
      <x:c r="F86" s="136"/>
      <x:c r="G86" s="136"/>
      <x:c r="H86" s="136"/>
      <x:c r="I86" s="136"/>
      <x:c r="J86" s="136"/>
      <x:c r="K86" s="136"/>
      <x:c r="L86" s="136"/>
      <x:c r="M86" s="136"/>
      <x:c r="N86" s="136"/>
      <x:c r="O86" s="136"/>
      <x:c r="P86" s="136"/>
      <x:c r="Q86" s="136"/>
      <x:c r="R86" s="136"/>
      <x:c r="S86" s="136"/>
      <x:c r="T86" s="136"/>
      <x:c r="U86" s="136"/>
      <x:c r="V86" s="136"/>
      <x:c r="W86" s="136"/>
      <x:c r="X86" s="136"/>
      <x:c r="Y86" s="136"/>
      <x:c r="Z86" s="136"/>
    </x:row>
    <x:row r="87">
      <x:c r="A87" s="136"/>
      <x:c r="B87" s="136"/>
      <x:c r="C87" s="136"/>
      <x:c r="D87" s="136"/>
      <x:c r="E87" s="136"/>
      <x:c r="F87" s="136"/>
      <x:c r="G87" s="136"/>
      <x:c r="H87" s="136"/>
      <x:c r="I87" s="136"/>
      <x:c r="J87" s="136"/>
      <x:c r="K87" s="136"/>
      <x:c r="L87" s="136"/>
      <x:c r="M87" s="136"/>
      <x:c r="N87" s="136"/>
      <x:c r="O87" s="136"/>
      <x:c r="P87" s="136"/>
      <x:c r="Q87" s="136"/>
      <x:c r="R87" s="136"/>
      <x:c r="S87" s="136"/>
      <x:c r="T87" s="136"/>
      <x:c r="U87" s="136"/>
      <x:c r="V87" s="136"/>
      <x:c r="W87" s="136"/>
      <x:c r="X87" s="136"/>
      <x:c r="Y87" s="136"/>
      <x:c r="Z87" s="136"/>
    </x:row>
    <x:row r="88">
      <x:c r="A88" s="136"/>
      <x:c r="B88" s="136"/>
      <x:c r="C88" s="136"/>
      <x:c r="D88" s="136"/>
      <x:c r="E88" s="136"/>
      <x:c r="F88" s="136"/>
      <x:c r="G88" s="136"/>
      <x:c r="H88" s="136"/>
      <x:c r="I88" s="136"/>
      <x:c r="J88" s="136"/>
      <x:c r="K88" s="136"/>
      <x:c r="L88" s="136"/>
      <x:c r="M88" s="136"/>
      <x:c r="N88" s="136"/>
      <x:c r="O88" s="136"/>
      <x:c r="P88" s="136"/>
      <x:c r="Q88" s="136"/>
      <x:c r="R88" s="136"/>
      <x:c r="S88" s="136"/>
      <x:c r="T88" s="136"/>
      <x:c r="U88" s="136"/>
      <x:c r="V88" s="136"/>
      <x:c r="W88" s="136"/>
      <x:c r="X88" s="136"/>
      <x:c r="Y88" s="136"/>
      <x:c r="Z88" s="136"/>
    </x:row>
    <x:row r="89">
      <x:c r="A89" s="136"/>
      <x:c r="B89" s="136"/>
      <x:c r="C89" s="136"/>
      <x:c r="D89" s="136"/>
      <x:c r="E89" s="136"/>
      <x:c r="F89" s="136"/>
      <x:c r="G89" s="136"/>
      <x:c r="H89" s="136"/>
      <x:c r="I89" s="136"/>
      <x:c r="J89" s="136"/>
      <x:c r="K89" s="136"/>
      <x:c r="L89" s="136"/>
      <x:c r="M89" s="136"/>
      <x:c r="N89" s="136"/>
      <x:c r="O89" s="136"/>
      <x:c r="P89" s="136"/>
      <x:c r="Q89" s="136"/>
      <x:c r="R89" s="136"/>
      <x:c r="S89" s="136"/>
      <x:c r="T89" s="136"/>
      <x:c r="U89" s="136"/>
      <x:c r="V89" s="136"/>
      <x:c r="W89" s="136"/>
      <x:c r="X89" s="136"/>
      <x:c r="Y89" s="136"/>
      <x:c r="Z89" s="136"/>
    </x:row>
    <x:row r="90">
      <x:c r="A90" s="136"/>
      <x:c r="B90" s="136"/>
      <x:c r="C90" s="136"/>
      <x:c r="D90" s="136"/>
      <x:c r="E90" s="136"/>
      <x:c r="F90" s="136"/>
      <x:c r="G90" s="136"/>
      <x:c r="H90" s="136"/>
      <x:c r="I90" s="136"/>
      <x:c r="J90" s="136"/>
      <x:c r="K90" s="136"/>
      <x:c r="L90" s="136"/>
      <x:c r="M90" s="136"/>
      <x:c r="N90" s="136"/>
      <x:c r="O90" s="136"/>
      <x:c r="P90" s="136"/>
      <x:c r="Q90" s="136"/>
      <x:c r="R90" s="136"/>
      <x:c r="S90" s="136"/>
      <x:c r="T90" s="136"/>
      <x:c r="U90" s="136"/>
      <x:c r="V90" s="136"/>
      <x:c r="W90" s="136"/>
      <x:c r="X90" s="136"/>
      <x:c r="Y90" s="136"/>
      <x:c r="Z90" s="136"/>
    </x:row>
    <x:row r="91">
      <x:c r="A91" s="136"/>
      <x:c r="B91" s="136"/>
      <x:c r="C91" s="136"/>
      <x:c r="D91" s="136"/>
      <x:c r="E91" s="136"/>
      <x:c r="F91" s="136"/>
      <x:c r="G91" s="136"/>
      <x:c r="H91" s="136"/>
      <x:c r="I91" s="136"/>
      <x:c r="J91" s="136"/>
      <x:c r="K91" s="136"/>
      <x:c r="L91" s="136"/>
      <x:c r="M91" s="136"/>
      <x:c r="N91" s="136"/>
      <x:c r="O91" s="136"/>
      <x:c r="P91" s="136"/>
      <x:c r="Q91" s="136"/>
      <x:c r="R91" s="136"/>
      <x:c r="S91" s="136"/>
      <x:c r="T91" s="136"/>
      <x:c r="U91" s="136"/>
      <x:c r="V91" s="136"/>
      <x:c r="W91" s="136"/>
      <x:c r="X91" s="136"/>
      <x:c r="Y91" s="136"/>
      <x:c r="Z91" s="136"/>
    </x:row>
    <x:row r="92">
      <x:c r="A92" s="136"/>
      <x:c r="B92" s="136"/>
      <x:c r="C92" s="136"/>
      <x:c r="D92" s="136"/>
      <x:c r="E92" s="136"/>
      <x:c r="F92" s="136"/>
      <x:c r="G92" s="136"/>
      <x:c r="H92" s="136"/>
      <x:c r="I92" s="136"/>
      <x:c r="J92" s="136"/>
      <x:c r="K92" s="136"/>
      <x:c r="L92" s="136"/>
      <x:c r="M92" s="136"/>
      <x:c r="N92" s="136"/>
      <x:c r="O92" s="136"/>
      <x:c r="P92" s="136"/>
      <x:c r="Q92" s="136"/>
      <x:c r="R92" s="136"/>
      <x:c r="S92" s="136"/>
      <x:c r="T92" s="136"/>
      <x:c r="U92" s="136"/>
      <x:c r="V92" s="136"/>
      <x:c r="W92" s="136"/>
      <x:c r="X92" s="136"/>
      <x:c r="Y92" s="136"/>
      <x:c r="Z92" s="136"/>
    </x:row>
    <x:row r="93">
      <x:c r="A93" s="136"/>
      <x:c r="B93" s="136"/>
      <x:c r="C93" s="136"/>
      <x:c r="D93" s="136"/>
      <x:c r="E93" s="136"/>
      <x:c r="F93" s="136"/>
      <x:c r="G93" s="136"/>
      <x:c r="H93" s="136"/>
      <x:c r="I93" s="136"/>
      <x:c r="J93" s="136"/>
      <x:c r="K93" s="136"/>
      <x:c r="L93" s="136"/>
      <x:c r="M93" s="136"/>
      <x:c r="N93" s="136"/>
      <x:c r="O93" s="136"/>
      <x:c r="P93" s="136"/>
      <x:c r="Q93" s="136"/>
      <x:c r="R93" s="136"/>
      <x:c r="S93" s="136"/>
      <x:c r="T93" s="136"/>
      <x:c r="U93" s="136"/>
      <x:c r="V93" s="136"/>
      <x:c r="W93" s="136"/>
      <x:c r="X93" s="136"/>
      <x:c r="Y93" s="136"/>
      <x:c r="Z93" s="136"/>
    </x:row>
    <x:row r="94">
      <x:c r="A94" s="136"/>
      <x:c r="B94" s="136"/>
      <x:c r="C94" s="136"/>
      <x:c r="D94" s="136"/>
      <x:c r="E94" s="136"/>
      <x:c r="F94" s="136"/>
      <x:c r="G94" s="136"/>
      <x:c r="H94" s="136"/>
      <x:c r="I94" s="136"/>
      <x:c r="J94" s="136"/>
      <x:c r="K94" s="136"/>
      <x:c r="L94" s="136"/>
      <x:c r="M94" s="136"/>
      <x:c r="N94" s="136"/>
      <x:c r="O94" s="136"/>
      <x:c r="P94" s="136"/>
      <x:c r="Q94" s="136"/>
      <x:c r="R94" s="136"/>
      <x:c r="S94" s="136"/>
      <x:c r="T94" s="136"/>
      <x:c r="U94" s="136"/>
      <x:c r="V94" s="136"/>
      <x:c r="W94" s="136"/>
      <x:c r="X94" s="136"/>
      <x:c r="Y94" s="136"/>
      <x:c r="Z94" s="136"/>
    </x:row>
    <x:row r="95">
      <x:c r="A95" s="136"/>
      <x:c r="B95" s="136"/>
      <x:c r="C95" s="136"/>
      <x:c r="D95" s="136"/>
      <x:c r="E95" s="136"/>
      <x:c r="F95" s="136"/>
      <x:c r="G95" s="136"/>
      <x:c r="H95" s="136"/>
      <x:c r="I95" s="136"/>
      <x:c r="J95" s="136"/>
      <x:c r="K95" s="136"/>
      <x:c r="L95" s="136"/>
      <x:c r="M95" s="136"/>
      <x:c r="N95" s="136"/>
      <x:c r="O95" s="136"/>
      <x:c r="P95" s="136"/>
      <x:c r="Q95" s="136"/>
      <x:c r="R95" s="136"/>
      <x:c r="S95" s="136"/>
      <x:c r="T95" s="136"/>
      <x:c r="U95" s="136"/>
      <x:c r="V95" s="136"/>
      <x:c r="W95" s="136"/>
      <x:c r="X95" s="136"/>
      <x:c r="Y95" s="136"/>
      <x:c r="Z95" s="136"/>
    </x:row>
    <x:row r="96">
      <x:c r="A96" s="136"/>
      <x:c r="B96" s="136"/>
      <x:c r="C96" s="136"/>
      <x:c r="D96" s="136"/>
      <x:c r="E96" s="136"/>
      <x:c r="F96" s="136"/>
      <x:c r="G96" s="136"/>
      <x:c r="H96" s="136"/>
      <x:c r="I96" s="136"/>
      <x:c r="J96" s="136"/>
      <x:c r="K96" s="136"/>
      <x:c r="L96" s="136"/>
      <x:c r="M96" s="136"/>
      <x:c r="N96" s="136"/>
      <x:c r="O96" s="136"/>
      <x:c r="P96" s="136"/>
      <x:c r="Q96" s="136"/>
      <x:c r="R96" s="136"/>
      <x:c r="S96" s="136"/>
      <x:c r="T96" s="136"/>
      <x:c r="U96" s="136"/>
      <x:c r="V96" s="136"/>
      <x:c r="W96" s="136"/>
      <x:c r="X96" s="136"/>
      <x:c r="Y96" s="136"/>
      <x:c r="Z96" s="136"/>
    </x:row>
    <x:row r="97">
      <x:c r="A97" s="136"/>
      <x:c r="B97" s="136"/>
      <x:c r="C97" s="136"/>
      <x:c r="D97" s="136"/>
      <x:c r="E97" s="136"/>
      <x:c r="F97" s="136"/>
      <x:c r="G97" s="136"/>
      <x:c r="H97" s="136"/>
      <x:c r="I97" s="136"/>
      <x:c r="J97" s="136"/>
      <x:c r="K97" s="136"/>
      <x:c r="L97" s="136"/>
      <x:c r="M97" s="136"/>
      <x:c r="N97" s="136"/>
      <x:c r="O97" s="136"/>
      <x:c r="P97" s="136"/>
      <x:c r="Q97" s="136"/>
      <x:c r="R97" s="136"/>
      <x:c r="S97" s="136"/>
      <x:c r="T97" s="136"/>
      <x:c r="U97" s="136"/>
      <x:c r="V97" s="136"/>
      <x:c r="W97" s="136"/>
      <x:c r="X97" s="136"/>
      <x:c r="Y97" s="136"/>
      <x:c r="Z97" s="136"/>
    </x:row>
    <x:row r="98">
      <x:c r="A98" s="136"/>
      <x:c r="B98" s="136"/>
      <x:c r="C98" s="136"/>
      <x:c r="D98" s="136"/>
      <x:c r="E98" s="136"/>
      <x:c r="F98" s="136"/>
      <x:c r="G98" s="136"/>
      <x:c r="H98" s="136"/>
      <x:c r="I98" s="136"/>
      <x:c r="J98" s="136"/>
      <x:c r="K98" s="136"/>
      <x:c r="L98" s="136"/>
      <x:c r="M98" s="136"/>
      <x:c r="N98" s="136"/>
      <x:c r="O98" s="136"/>
      <x:c r="P98" s="136"/>
      <x:c r="Q98" s="136"/>
      <x:c r="R98" s="136"/>
      <x:c r="S98" s="136"/>
      <x:c r="T98" s="136"/>
      <x:c r="U98" s="136"/>
      <x:c r="V98" s="136"/>
      <x:c r="W98" s="136"/>
      <x:c r="X98" s="136"/>
      <x:c r="Y98" s="136"/>
      <x:c r="Z98" s="136"/>
    </x:row>
    <x:row r="99">
      <x:c r="A99" s="136"/>
      <x:c r="B99" s="136"/>
      <x:c r="C99" s="136"/>
      <x:c r="D99" s="136"/>
      <x:c r="E99" s="136"/>
      <x:c r="F99" s="136"/>
      <x:c r="G99" s="136"/>
      <x:c r="H99" s="136"/>
      <x:c r="I99" s="136"/>
      <x:c r="J99" s="136"/>
      <x:c r="K99" s="136"/>
      <x:c r="L99" s="136"/>
      <x:c r="M99" s="136"/>
      <x:c r="N99" s="136"/>
      <x:c r="O99" s="136"/>
      <x:c r="P99" s="136"/>
      <x:c r="Q99" s="136"/>
      <x:c r="R99" s="136"/>
      <x:c r="S99" s="136"/>
      <x:c r="T99" s="136"/>
      <x:c r="U99" s="136"/>
      <x:c r="V99" s="136"/>
      <x:c r="W99" s="136"/>
      <x:c r="X99" s="136"/>
      <x:c r="Y99" s="136"/>
      <x:c r="Z99" s="136"/>
    </x:row>
    <x:row r="100">
      <x:c r="A100" s="136"/>
      <x:c r="B100" s="136"/>
      <x:c r="C100" s="136"/>
      <x:c r="D100" s="136"/>
      <x:c r="E100" s="136"/>
      <x:c r="F100" s="136"/>
      <x:c r="G100" s="136"/>
      <x:c r="H100" s="136"/>
      <x:c r="I100" s="136"/>
      <x:c r="J100" s="136"/>
      <x:c r="K100" s="136"/>
      <x:c r="L100" s="136"/>
      <x:c r="M100" s="136"/>
      <x:c r="N100" s="136"/>
      <x:c r="O100" s="136"/>
      <x:c r="P100" s="136"/>
      <x:c r="Q100" s="136"/>
      <x:c r="R100" s="136"/>
      <x:c r="S100" s="136"/>
      <x:c r="T100" s="136"/>
      <x:c r="U100" s="136"/>
      <x:c r="V100" s="136"/>
      <x:c r="W100" s="136"/>
      <x:c r="X100" s="136"/>
      <x:c r="Y100" s="136"/>
      <x:c r="Z100" s="136"/>
    </x:row>
  </x:sheetData>
  <x:mergeCells>
    <x:mergeCell ref="A1:J1"/>
    <x:mergeCell ref="A7:J7"/>
    <x:mergeCell ref="A8:J1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6" hidden="0" customWidth="1"/>
    <x:col min="4" max="4" width="26" hidden="0" customWidth="1"/>
    <x:col min="5" max="5" width="20" hidden="0" customWidth="1"/>
    <x:col min="6" max="6" width="20" hidden="0" customWidth="1"/>
    <x:col min="7" max="7" width="20" hidden="0" customWidth="1"/>
    <x:col min="8" max="8" width="42" hidden="0" customWidth="1"/>
    <x:col min="9" max="9" width="20" hidden="0" customWidth="1"/>
  </x:cols>
  <x:sheetData>
    <x:row r="1" ht="26" customHeight="1">
      <x:c r="A1" s="182" t="str">
        <x:v>Braskem Trading &amp; Shipping — Dedicated Future LR1 Fleet</x:v>
      </x:c>
      <x:c r="B1" s="182"/>
      <x:c r="C1" s="182"/>
      <x:c r="D1" s="182"/>
      <x:c r="E1" s="182"/>
      <x:c r="F1" s="182"/>
      <x:c r="G1" s="182"/>
      <x:c r="H1" s="182"/>
      <x:c r="I1" s="182"/>
      <x:c r="J1" s="112"/>
      <x:c r="K1" s="112"/>
      <x:c r="L1" s="112"/>
      <x:c r="M1" s="112"/>
      <x:c r="N1" s="112"/>
      <x:c r="O1" s="112"/>
      <x:c r="P1" s="112"/>
      <x:c r="Q1" s="112"/>
      <x:c r="R1" s="112"/>
      <x:c r="S1" s="112"/>
      <x:c r="T1" s="112"/>
      <x:c r="U1" s="112"/>
      <x:c r="V1" s="112"/>
      <x:c r="W1" s="112"/>
      <x:c r="X1" s="112"/>
      <x:c r="Y1" s="112"/>
      <x:c r="Z1" s="112"/>
    </x:row>
    <x:row r="2">
      <x:c r="A2" s="12" t="str">
        <x:v>Vessel</x:v>
      </x:c>
      <x:c r="B2" s="12" t="str">
        <x:v>Status checked 28-Sep-2026</x:v>
      </x:c>
      <x:c r="C2" s="12" t="str">
        <x:v>Timing</x:v>
      </x:c>
      <x:c r="D2" s="12" t="str">
        <x:v>Route / Role</x:v>
      </x:c>
      <x:c r="E2" s="12" t="str">
        <x:v>Max Naphtha Capacity (m³)</x:v>
      </x:c>
      <x:c r="F2" s="12" t="str">
        <x:v>Typical Cargo (kt)</x:v>
      </x:c>
      <x:c r="G2" s="12" t="str">
        <x:v>Observed Brazil Cargo (kt)</x:v>
      </x:c>
      <x:c r="H2" s="12" t="str">
        <x:v>Source URL</x:v>
      </x:c>
      <x:c r="I2" s="12" t="str">
        <x:v>Monitor Flag</x:v>
      </x:c>
      <x:c r="J2" s="136"/>
      <x:c r="K2" s="136"/>
      <x:c r="L2" s="136"/>
      <x:c r="M2" s="136"/>
      <x:c r="N2" s="136"/>
      <x:c r="O2" s="136"/>
      <x:c r="P2" s="136"/>
      <x:c r="Q2" s="136"/>
      <x:c r="R2" s="136"/>
      <x:c r="S2" s="136"/>
      <x:c r="T2" s="136"/>
      <x:c r="U2" s="136"/>
      <x:c r="V2" s="136"/>
      <x:c r="W2" s="136"/>
      <x:c r="X2" s="136"/>
      <x:c r="Y2" s="136"/>
      <x:c r="Z2" s="136"/>
    </x:row>
    <x:row r="3">
      <x:c r="A3" s="116" t="str">
        <x:v>BEAUTIFUL FUTURE</x:v>
      </x:c>
      <x:c r="B3" s="116" t="str">
        <x:v>Delivered / operating</x:v>
      </x:c>
      <x:c r="C3" s="116" t="str">
        <x:v>Delivered May 2026; Brazil arrival Aug 2026</x:v>
      </x:c>
      <x:c r="D3" s="116" t="str">
        <x:v>US Gulf Coast → Brazil naphtha</x:v>
      </x:c>
      <x:c r="E3" s="185" t="n">
        <x:v>89500</x:v>
      </x:c>
      <x:c r="F3" s="123" t="n">
        <x:v>57.5</x:v>
      </x:c>
      <x:c r="G3" s="123" t="n">
        <x:v>55.245144</x:v>
      </x:c>
      <x:c r="H3" s="171" t="str">
        <x:v>https://www.braskem.com/news-detail/arrival-of-the-beautiful-future-vessel-in-brazil-strengthens-braskem-trading-shippings-logistics-strategy</x:v>
      </x:c>
      <x:c r="I3" s="116" t="str">
        <x:v>Sep-26 Aratu berth; 28kt planned, pending completion</x:v>
      </x:c>
      <x:c r="J3" s="136"/>
      <x:c r="K3" s="136"/>
      <x:c r="L3" s="136"/>
      <x:c r="M3" s="136"/>
      <x:c r="N3" s="136"/>
      <x:c r="O3" s="136"/>
      <x:c r="P3" s="136"/>
      <x:c r="Q3" s="136"/>
      <x:c r="R3" s="136"/>
      <x:c r="S3" s="136"/>
      <x:c r="T3" s="136"/>
      <x:c r="U3" s="136"/>
      <x:c r="V3" s="136"/>
      <x:c r="W3" s="136"/>
      <x:c r="X3" s="136"/>
      <x:c r="Y3" s="136"/>
      <x:c r="Z3" s="136"/>
    </x:row>
    <x:row r="4">
      <x:c r="A4" s="116" t="str">
        <x:v>BLOOMING FUTURE</x:v>
      </x:c>
      <x:c r="B4" s="116" t="str">
        <x:v>Delivered / operating</x:v>
      </x:c>
      <x:c r="C4" s="116" t="str">
        <x:v>Operations launched Jun 18 2026</x:v>
      </x:c>
      <x:c r="D4" s="116" t="str">
        <x:v>US Gulf Coast → Brazil naphtha</x:v>
      </x:c>
      <x:c r="E4" s="185" t="n">
        <x:v>89500</x:v>
      </x:c>
      <x:c r="F4" s="123" t="n">
        <x:v>57.5</x:v>
      </x:c>
      <x:c r="G4" s="123"/>
      <x:c r="H4" s="171" t="str">
        <x:v>https://www.braskem.com/news-detail/arrival-of-the-beautiful-future-vessel-in-brazil-strengthens-braskem-trading-shippings-logistics-strategy</x:v>
      </x:c>
      <x:c r="I4" s="116" t="str">
        <x:v>Oct-3 Aratu ETB; 28kt planned, pending arrival</x:v>
      </x:c>
      <x:c r="J4" s="136"/>
      <x:c r="K4" s="136"/>
      <x:c r="L4" s="136"/>
      <x:c r="M4" s="136"/>
      <x:c r="N4" s="136"/>
      <x:c r="O4" s="136"/>
      <x:c r="P4" s="136"/>
      <x:c r="Q4" s="136"/>
      <x:c r="R4" s="136"/>
      <x:c r="S4" s="136"/>
      <x:c r="T4" s="136"/>
      <x:c r="U4" s="136"/>
      <x:c r="V4" s="136"/>
      <x:c r="W4" s="136"/>
      <x:c r="X4" s="136"/>
      <x:c r="Y4" s="136"/>
      <x:c r="Z4" s="136"/>
    </x:row>
    <x:row r="5">
      <x:c r="A5" s="116" t="str">
        <x:v>BLISSFUL FUTURE</x:v>
      </x:c>
      <x:c r="B5" s="116" t="str">
        <x:v>Under construction / delivery pending</x:v>
      </x:c>
      <x:c r="C5" s="116" t="str">
        <x:v>Prior expected timing: later 2026; not reverified</x:v>
      </x:c>
      <x:c r="D5" s="116" t="str">
        <x:v>US Gulf Coast → Brazil naphtha</x:v>
      </x:c>
      <x:c r="E5" s="185" t="n">
        <x:v>89500</x:v>
      </x:c>
      <x:c r="F5" s="123" t="n">
        <x:v>57.5</x:v>
      </x:c>
      <x:c r="G5" s="123"/>
      <x:c r="H5" s="171" t="str">
        <x:v>https://www.braskem.com/news-detail/arrival-of-the-beautiful-future-vessel-in-brazil-strengthens-braskem-trading-shippings-logistics-strategy</x:v>
      </x:c>
      <x:c r="I5" s="116" t="str">
        <x:v>Near-forward</x:v>
      </x:c>
      <x:c r="J5" s="136"/>
      <x:c r="K5" s="136"/>
      <x:c r="L5" s="136"/>
      <x:c r="M5" s="136"/>
      <x:c r="N5" s="136"/>
      <x:c r="O5" s="136"/>
      <x:c r="P5" s="136"/>
      <x:c r="Q5" s="136"/>
      <x:c r="R5" s="136"/>
      <x:c r="S5" s="136"/>
      <x:c r="T5" s="136"/>
      <x:c r="U5" s="136"/>
      <x:c r="V5" s="136"/>
      <x:c r="W5" s="136"/>
      <x:c r="X5" s="136"/>
      <x:c r="Y5" s="136"/>
      <x:c r="Z5" s="136"/>
    </x:row>
    <x:row r="6">
      <x:c r="A6" s="116" t="str">
        <x:v>BOLD FUTURE</x:v>
      </x:c>
      <x:c r="B6" s="116" t="str">
        <x:v>Under construction / delivery pending</x:v>
      </x:c>
      <x:c r="C6" s="116" t="str">
        <x:v>Prior expected timing: early 2027; not reverified</x:v>
      </x:c>
      <x:c r="D6" s="116" t="str">
        <x:v>US Gulf Coast → Brazil naphtha</x:v>
      </x:c>
      <x:c r="E6" s="185" t="n">
        <x:v>89500</x:v>
      </x:c>
      <x:c r="F6" s="123" t="n">
        <x:v>57.5</x:v>
      </x:c>
      <x:c r="G6" s="123"/>
      <x:c r="H6" s="171" t="str">
        <x:v>https://www.braskem.com/news-detail/arrival-of-the-beautiful-future-vessel-in-brazil-strengthens-braskem-trading-shippings-logistics-strategy</x:v>
      </x:c>
      <x:c r="I6" s="116" t="str">
        <x:v>Near-forward</x:v>
      </x:c>
      <x:c r="J6" s="136"/>
      <x:c r="K6" s="136"/>
      <x:c r="L6" s="136"/>
      <x:c r="M6" s="136"/>
      <x:c r="N6" s="136"/>
      <x:c r="O6" s="136"/>
      <x:c r="P6" s="136"/>
      <x:c r="Q6" s="136"/>
      <x:c r="R6" s="136"/>
      <x:c r="S6" s="136"/>
      <x:c r="T6" s="136"/>
      <x:c r="U6" s="136"/>
      <x:c r="V6" s="136"/>
      <x:c r="W6" s="136"/>
      <x:c r="X6" s="136"/>
      <x:c r="Y6" s="136"/>
      <x:c r="Z6" s="136"/>
    </x:row>
    <x:row r="7">
      <x:c r="A7" s="176"/>
      <x:c r="B7" s="176"/>
      <x:c r="C7" s="176"/>
      <x:c r="D7" s="176"/>
      <x:c r="E7" s="176"/>
      <x:c r="F7" s="176"/>
      <x:c r="G7" s="176"/>
      <x:c r="H7" s="176"/>
      <x:c r="I7" s="176"/>
      <x:c r="J7" s="136"/>
      <x:c r="K7" s="136"/>
      <x:c r="L7" s="136"/>
      <x:c r="M7" s="136"/>
      <x:c r="N7" s="136"/>
      <x:c r="O7" s="136"/>
      <x:c r="P7" s="136"/>
      <x:c r="Q7" s="136"/>
      <x:c r="R7" s="136"/>
      <x:c r="S7" s="136"/>
      <x:c r="T7" s="136"/>
      <x:c r="U7" s="136"/>
      <x:c r="V7" s="136"/>
      <x:c r="W7" s="136"/>
      <x:c r="X7" s="136"/>
      <x:c r="Y7" s="136"/>
      <x:c r="Z7" s="136"/>
    </x:row>
    <x:row r="8">
      <x:c r="A8" s="186" t="str">
        <x:v>Program-Level Disclosure</x:v>
      </x:c>
      <x:c r="B8" s="186"/>
      <x:c r="C8" s="186"/>
      <x:c r="D8" s="186"/>
      <x:c r="E8" s="186"/>
      <x:c r="F8" s="186"/>
      <x:c r="G8" s="186"/>
      <x:c r="H8" s="186"/>
      <x:c r="I8" s="186"/>
      <x:c r="J8" s="136"/>
      <x:c r="K8" s="136"/>
      <x:c r="L8" s="136"/>
      <x:c r="M8" s="136"/>
      <x:c r="N8" s="136"/>
      <x:c r="O8" s="136"/>
      <x:c r="P8" s="136"/>
      <x:c r="Q8" s="136"/>
      <x:c r="R8" s="136"/>
      <x:c r="S8" s="136"/>
      <x:c r="T8" s="136"/>
      <x:c r="U8" s="136"/>
      <x:c r="V8" s="136"/>
      <x:c r="W8" s="136"/>
      <x:c r="X8" s="136"/>
      <x:c r="Y8" s="136"/>
      <x:c r="Z8" s="136"/>
    </x:row>
    <x:row r="9">
      <x:c r="A9" s="163" t="str">
        <x:v>Braskem says the completed four-vessel fleet can transport approximately 40%–50% of its naphtha import demand. The monitor does not assume those tonnes are incremental; it tests the hypothesis by tracking Future-fleet and third-party arrivals together.</x:v>
      </x:c>
      <x:c r="B9" s="163"/>
      <x:c r="C9" s="163"/>
      <x:c r="D9" s="163"/>
      <x:c r="E9" s="163"/>
      <x:c r="F9" s="163"/>
      <x:c r="G9" s="163"/>
      <x:c r="H9" s="163"/>
      <x:c r="I9" s="163"/>
      <x:c r="J9" s="136"/>
      <x:c r="K9" s="136"/>
      <x:c r="L9" s="136"/>
      <x:c r="M9" s="136"/>
      <x:c r="N9" s="136"/>
      <x:c r="O9" s="136"/>
      <x:c r="P9" s="136"/>
      <x:c r="Q9" s="136"/>
      <x:c r="R9" s="136"/>
      <x:c r="S9" s="136"/>
      <x:c r="T9" s="136"/>
      <x:c r="U9" s="136"/>
      <x:c r="V9" s="136"/>
      <x:c r="W9" s="136"/>
      <x:c r="X9" s="136"/>
      <x:c r="Y9" s="136"/>
      <x:c r="Z9" s="136"/>
    </x:row>
    <x:row r="10">
      <x:c r="A10" s="163"/>
      <x:c r="B10" s="163"/>
      <x:c r="C10" s="163"/>
      <x:c r="D10" s="163"/>
      <x:c r="E10" s="163"/>
      <x:c r="F10" s="163"/>
      <x:c r="G10" s="163"/>
      <x:c r="H10" s="163"/>
      <x:c r="I10" s="163"/>
      <x:c r="J10" s="136"/>
      <x:c r="K10" s="136"/>
      <x:c r="L10" s="136"/>
      <x:c r="M10" s="136"/>
      <x:c r="N10" s="136"/>
      <x:c r="O10" s="136"/>
      <x:c r="P10" s="136"/>
      <x:c r="Q10" s="136"/>
      <x:c r="R10" s="136"/>
      <x:c r="S10" s="136"/>
      <x:c r="T10" s="136"/>
      <x:c r="U10" s="136"/>
      <x:c r="V10" s="136"/>
      <x:c r="W10" s="136"/>
      <x:c r="X10" s="136"/>
      <x:c r="Y10" s="136"/>
      <x:c r="Z10" s="136"/>
    </x:row>
    <x:row r="11">
      <x:c r="A11" s="163"/>
      <x:c r="B11" s="163"/>
      <x:c r="C11" s="163"/>
      <x:c r="D11" s="163"/>
      <x:c r="E11" s="163"/>
      <x:c r="F11" s="163"/>
      <x:c r="G11" s="163"/>
      <x:c r="H11" s="163"/>
      <x:c r="I11" s="163"/>
      <x:c r="J11" s="136"/>
      <x:c r="K11" s="136"/>
      <x:c r="L11" s="136"/>
      <x:c r="M11" s="136"/>
      <x:c r="N11" s="136"/>
      <x:c r="O11" s="136"/>
      <x:c r="P11" s="136"/>
      <x:c r="Q11" s="136"/>
      <x:c r="R11" s="136"/>
      <x:c r="S11" s="136"/>
      <x:c r="T11" s="136"/>
      <x:c r="U11" s="136"/>
      <x:c r="V11" s="136"/>
      <x:c r="W11" s="136"/>
      <x:c r="X11" s="136"/>
      <x:c r="Y11" s="136"/>
      <x:c r="Z11" s="136"/>
    </x:row>
    <x:row r="12">
      <x:c r="A12" s="136"/>
      <x:c r="B12" s="136"/>
      <x:c r="C12" s="136"/>
      <x:c r="D12" s="136"/>
      <x:c r="E12" s="136"/>
      <x:c r="F12" s="136"/>
      <x:c r="G12" s="136"/>
      <x:c r="H12" s="136"/>
      <x:c r="I12" s="136"/>
      <x:c r="J12" s="136"/>
      <x:c r="K12" s="136"/>
      <x:c r="L12" s="136"/>
      <x:c r="M12" s="136"/>
      <x:c r="N12" s="136"/>
      <x:c r="O12" s="136"/>
      <x:c r="P12" s="136"/>
      <x:c r="Q12" s="136"/>
      <x:c r="R12" s="136"/>
      <x:c r="S12" s="136"/>
      <x:c r="T12" s="136"/>
      <x:c r="U12" s="136"/>
      <x:c r="V12" s="136"/>
      <x:c r="W12" s="136"/>
      <x:c r="X12" s="136"/>
      <x:c r="Y12" s="136"/>
      <x:c r="Z12" s="136"/>
    </x:row>
    <x:row r="13">
      <x:c r="A13" s="136"/>
      <x:c r="B13" s="136"/>
      <x:c r="C13" s="136"/>
      <x:c r="D13" s="136"/>
      <x:c r="E13" s="136"/>
      <x:c r="F13" s="136"/>
      <x:c r="G13" s="136"/>
      <x:c r="H13" s="136"/>
      <x:c r="I13" s="136"/>
      <x:c r="J13" s="136"/>
      <x:c r="K13" s="136"/>
      <x:c r="L13" s="136"/>
      <x:c r="M13" s="136"/>
      <x:c r="N13" s="136"/>
      <x:c r="O13" s="136"/>
      <x:c r="P13" s="136"/>
      <x:c r="Q13" s="136"/>
      <x:c r="R13" s="136"/>
      <x:c r="S13" s="136"/>
      <x:c r="T13" s="136"/>
      <x:c r="U13" s="136"/>
      <x:c r="V13" s="136"/>
      <x:c r="W13" s="136"/>
      <x:c r="X13" s="136"/>
      <x:c r="Y13" s="136"/>
      <x:c r="Z13" s="136"/>
    </x:row>
    <x:row r="14">
      <x:c r="A14" s="136"/>
      <x:c r="B14" s="136"/>
      <x:c r="C14" s="136"/>
      <x:c r="D14" s="136"/>
      <x:c r="E14" s="136"/>
      <x:c r="F14" s="136"/>
      <x:c r="G14" s="136"/>
      <x:c r="H14" s="136"/>
      <x:c r="I14" s="136"/>
      <x:c r="J14" s="136"/>
      <x:c r="K14" s="136"/>
      <x:c r="L14" s="136"/>
      <x:c r="M14" s="136"/>
      <x:c r="N14" s="136"/>
      <x:c r="O14" s="136"/>
      <x:c r="P14" s="136"/>
      <x:c r="Q14" s="136"/>
      <x:c r="R14" s="136"/>
      <x:c r="S14" s="136"/>
      <x:c r="T14" s="136"/>
      <x:c r="U14" s="136"/>
      <x:c r="V14" s="136"/>
      <x:c r="W14" s="136"/>
      <x:c r="X14" s="136"/>
      <x:c r="Y14" s="136"/>
      <x:c r="Z14" s="136"/>
    </x:row>
    <x:row r="15">
      <x:c r="A15" s="136"/>
      <x:c r="B15" s="136"/>
      <x:c r="C15" s="136"/>
      <x:c r="D15" s="136"/>
      <x:c r="E15" s="136"/>
      <x:c r="F15" s="136"/>
      <x:c r="G15" s="136"/>
      <x:c r="H15" s="136"/>
      <x:c r="I15" s="136"/>
      <x:c r="J15" s="136"/>
      <x:c r="K15" s="136"/>
      <x:c r="L15" s="136"/>
      <x:c r="M15" s="136"/>
      <x:c r="N15" s="136"/>
      <x:c r="O15" s="136"/>
      <x:c r="P15" s="136"/>
      <x:c r="Q15" s="136"/>
      <x:c r="R15" s="136"/>
      <x:c r="S15" s="136"/>
      <x:c r="T15" s="136"/>
      <x:c r="U15" s="136"/>
      <x:c r="V15" s="136"/>
      <x:c r="W15" s="136"/>
      <x:c r="X15" s="136"/>
      <x:c r="Y15" s="136"/>
      <x:c r="Z15" s="136"/>
    </x:row>
    <x:row r="16">
      <x:c r="A16" s="136"/>
      <x:c r="B16" s="136"/>
      <x:c r="C16" s="136"/>
      <x:c r="D16" s="136"/>
      <x:c r="E16" s="136"/>
      <x:c r="F16" s="136"/>
      <x:c r="G16" s="136"/>
      <x:c r="H16" s="136"/>
      <x:c r="I16" s="136"/>
      <x:c r="J16" s="136"/>
      <x:c r="K16" s="136"/>
      <x:c r="L16" s="136"/>
      <x:c r="M16" s="136"/>
      <x:c r="N16" s="136"/>
      <x:c r="O16" s="136"/>
      <x:c r="P16" s="136"/>
      <x:c r="Q16" s="136"/>
      <x:c r="R16" s="136"/>
      <x:c r="S16" s="136"/>
      <x:c r="T16" s="136"/>
      <x:c r="U16" s="136"/>
      <x:c r="V16" s="136"/>
      <x:c r="W16" s="136"/>
      <x:c r="X16" s="136"/>
      <x:c r="Y16" s="136"/>
      <x:c r="Z16" s="136"/>
    </x:row>
    <x:row r="17">
      <x:c r="A17" s="136"/>
      <x:c r="B17" s="136"/>
      <x:c r="C17" s="136"/>
      <x:c r="D17" s="136"/>
      <x:c r="E17" s="136"/>
      <x:c r="F17" s="136"/>
      <x:c r="G17" s="136"/>
      <x:c r="H17" s="136"/>
      <x:c r="I17" s="136"/>
      <x:c r="J17" s="136"/>
      <x:c r="K17" s="136"/>
      <x:c r="L17" s="136"/>
      <x:c r="M17" s="136"/>
      <x:c r="N17" s="136"/>
      <x:c r="O17" s="136"/>
      <x:c r="P17" s="136"/>
      <x:c r="Q17" s="136"/>
      <x:c r="R17" s="136"/>
      <x:c r="S17" s="136"/>
      <x:c r="T17" s="136"/>
      <x:c r="U17" s="136"/>
      <x:c r="V17" s="136"/>
      <x:c r="W17" s="136"/>
      <x:c r="X17" s="136"/>
      <x:c r="Y17" s="136"/>
      <x:c r="Z17" s="136"/>
    </x:row>
    <x:row r="18">
      <x:c r="A18" s="136"/>
      <x:c r="B18" s="136"/>
      <x:c r="C18" s="136"/>
      <x:c r="D18" s="136"/>
      <x:c r="E18" s="136"/>
      <x:c r="F18" s="136"/>
      <x:c r="G18" s="136"/>
      <x:c r="H18" s="136"/>
      <x:c r="I18" s="136"/>
      <x:c r="J18" s="136"/>
      <x:c r="K18" s="136"/>
      <x:c r="L18" s="136"/>
      <x:c r="M18" s="136"/>
      <x:c r="N18" s="136"/>
      <x:c r="O18" s="136"/>
      <x:c r="P18" s="136"/>
      <x:c r="Q18" s="136"/>
      <x:c r="R18" s="136"/>
      <x:c r="S18" s="136"/>
      <x:c r="T18" s="136"/>
      <x:c r="U18" s="136"/>
      <x:c r="V18" s="136"/>
      <x:c r="W18" s="136"/>
      <x:c r="X18" s="136"/>
      <x:c r="Y18" s="136"/>
      <x:c r="Z18" s="136"/>
    </x:row>
    <x:row r="19">
      <x:c r="A19" s="136"/>
      <x:c r="B19" s="136"/>
      <x:c r="C19" s="136"/>
      <x:c r="D19" s="136"/>
      <x:c r="E19" s="136"/>
      <x:c r="F19" s="136"/>
      <x:c r="G19" s="136"/>
      <x:c r="H19" s="136"/>
      <x:c r="I19" s="136"/>
      <x:c r="J19" s="136"/>
      <x:c r="K19" s="136"/>
      <x:c r="L19" s="136"/>
      <x:c r="M19" s="136"/>
      <x:c r="N19" s="136"/>
      <x:c r="O19" s="136"/>
      <x:c r="P19" s="136"/>
      <x:c r="Q19" s="136"/>
      <x:c r="R19" s="136"/>
      <x:c r="S19" s="136"/>
      <x:c r="T19" s="136"/>
      <x:c r="U19" s="136"/>
      <x:c r="V19" s="136"/>
      <x:c r="W19" s="136"/>
      <x:c r="X19" s="136"/>
      <x:c r="Y19" s="136"/>
      <x:c r="Z19" s="136"/>
    </x:row>
    <x:row r="20">
      <x:c r="A20" s="136"/>
      <x:c r="B20" s="136"/>
      <x:c r="C20" s="136"/>
      <x:c r="D20" s="136"/>
      <x:c r="E20" s="136"/>
      <x:c r="F20" s="136"/>
      <x:c r="G20" s="136"/>
      <x:c r="H20" s="136"/>
      <x:c r="I20" s="136"/>
      <x:c r="J20" s="136"/>
      <x:c r="K20" s="136"/>
      <x:c r="L20" s="136"/>
      <x:c r="M20" s="136"/>
      <x:c r="N20" s="136"/>
      <x:c r="O20" s="136"/>
      <x:c r="P20" s="136"/>
      <x:c r="Q20" s="136"/>
      <x:c r="R20" s="136"/>
      <x:c r="S20" s="136"/>
      <x:c r="T20" s="136"/>
      <x:c r="U20" s="136"/>
      <x:c r="V20" s="136"/>
      <x:c r="W20" s="136"/>
      <x:c r="X20" s="136"/>
      <x:c r="Y20" s="136"/>
      <x:c r="Z20" s="136"/>
    </x:row>
    <x:row r="21">
      <x:c r="A21" s="136"/>
      <x:c r="B21" s="136"/>
      <x:c r="C21" s="136"/>
      <x:c r="D21" s="136"/>
      <x:c r="E21" s="136"/>
      <x:c r="F21" s="136"/>
      <x:c r="G21" s="136"/>
      <x:c r="H21" s="136"/>
      <x:c r="I21" s="136"/>
      <x:c r="J21" s="136"/>
      <x:c r="K21" s="136"/>
      <x:c r="L21" s="136"/>
      <x:c r="M21" s="136"/>
      <x:c r="N21" s="136"/>
      <x:c r="O21" s="136"/>
      <x:c r="P21" s="136"/>
      <x:c r="Q21" s="136"/>
      <x:c r="R21" s="136"/>
      <x:c r="S21" s="136"/>
      <x:c r="T21" s="136"/>
      <x:c r="U21" s="136"/>
      <x:c r="V21" s="136"/>
      <x:c r="W21" s="136"/>
      <x:c r="X21" s="136"/>
      <x:c r="Y21" s="136"/>
      <x:c r="Z21" s="136"/>
    </x:row>
    <x:row r="22">
      <x:c r="A22" s="136"/>
      <x:c r="B22" s="136"/>
      <x:c r="C22" s="136"/>
      <x:c r="D22" s="136"/>
      <x:c r="E22" s="136"/>
      <x:c r="F22" s="136"/>
      <x:c r="G22" s="136"/>
      <x:c r="H22" s="136"/>
      <x:c r="I22" s="136"/>
      <x:c r="J22" s="136"/>
      <x:c r="K22" s="136"/>
      <x:c r="L22" s="136"/>
      <x:c r="M22" s="136"/>
      <x:c r="N22" s="136"/>
      <x:c r="O22" s="136"/>
      <x:c r="P22" s="136"/>
      <x:c r="Q22" s="136"/>
      <x:c r="R22" s="136"/>
      <x:c r="S22" s="136"/>
      <x:c r="T22" s="136"/>
      <x:c r="U22" s="136"/>
      <x:c r="V22" s="136"/>
      <x:c r="W22" s="136"/>
      <x:c r="X22" s="136"/>
      <x:c r="Y22" s="136"/>
      <x:c r="Z22" s="136"/>
    </x:row>
    <x:row r="23">
      <x:c r="A23" s="136"/>
      <x:c r="B23" s="136"/>
      <x:c r="C23" s="136"/>
      <x:c r="D23" s="136"/>
      <x:c r="E23" s="136"/>
      <x:c r="F23" s="136"/>
      <x:c r="G23" s="136"/>
      <x:c r="H23" s="136"/>
      <x:c r="I23" s="136"/>
      <x:c r="J23" s="136"/>
      <x:c r="K23" s="136"/>
      <x:c r="L23" s="136"/>
      <x:c r="M23" s="136"/>
      <x:c r="N23" s="136"/>
      <x:c r="O23" s="136"/>
      <x:c r="P23" s="136"/>
      <x:c r="Q23" s="136"/>
      <x:c r="R23" s="136"/>
      <x:c r="S23" s="136"/>
      <x:c r="T23" s="136"/>
      <x:c r="U23" s="136"/>
      <x:c r="V23" s="136"/>
      <x:c r="W23" s="136"/>
      <x:c r="X23" s="136"/>
      <x:c r="Y23" s="136"/>
      <x:c r="Z23" s="136"/>
    </x:row>
    <x:row r="24">
      <x:c r="A24" s="136"/>
      <x:c r="B24" s="136"/>
      <x:c r="C24" s="136"/>
      <x:c r="D24" s="136"/>
      <x:c r="E24" s="136"/>
      <x:c r="F24" s="136"/>
      <x:c r="G24" s="136"/>
      <x:c r="H24" s="136"/>
      <x:c r="I24" s="136"/>
      <x:c r="J24" s="136"/>
      <x:c r="K24" s="136"/>
      <x:c r="L24" s="136"/>
      <x:c r="M24" s="136"/>
      <x:c r="N24" s="136"/>
      <x:c r="O24" s="136"/>
      <x:c r="P24" s="136"/>
      <x:c r="Q24" s="136"/>
      <x:c r="R24" s="136"/>
      <x:c r="S24" s="136"/>
      <x:c r="T24" s="136"/>
      <x:c r="U24" s="136"/>
      <x:c r="V24" s="136"/>
      <x:c r="W24" s="136"/>
      <x:c r="X24" s="136"/>
      <x:c r="Y24" s="136"/>
      <x:c r="Z24" s="136"/>
    </x:row>
    <x:row r="25">
      <x:c r="A25" s="136"/>
      <x:c r="B25" s="136"/>
      <x:c r="C25" s="136"/>
      <x:c r="D25" s="136"/>
      <x:c r="E25" s="136"/>
      <x:c r="F25" s="136"/>
      <x:c r="G25" s="136"/>
      <x:c r="H25" s="136"/>
      <x:c r="I25" s="136"/>
      <x:c r="J25" s="136"/>
      <x:c r="K25" s="136"/>
      <x:c r="L25" s="136"/>
      <x:c r="M25" s="136"/>
      <x:c r="N25" s="136"/>
      <x:c r="O25" s="136"/>
      <x:c r="P25" s="136"/>
      <x:c r="Q25" s="136"/>
      <x:c r="R25" s="136"/>
      <x:c r="S25" s="136"/>
      <x:c r="T25" s="136"/>
      <x:c r="U25" s="136"/>
      <x:c r="V25" s="136"/>
      <x:c r="W25" s="136"/>
      <x:c r="X25" s="136"/>
      <x:c r="Y25" s="136"/>
      <x:c r="Z25" s="136"/>
    </x:row>
    <x:row r="26">
      <x:c r="A26" s="136"/>
      <x:c r="B26" s="136"/>
      <x:c r="C26" s="136"/>
      <x:c r="D26" s="136"/>
      <x:c r="E26" s="136"/>
      <x:c r="F26" s="136"/>
      <x:c r="G26" s="136"/>
      <x:c r="H26" s="136"/>
      <x:c r="I26" s="136"/>
      <x:c r="J26" s="136"/>
      <x:c r="K26" s="136"/>
      <x:c r="L26" s="136"/>
      <x:c r="M26" s="136"/>
      <x:c r="N26" s="136"/>
      <x:c r="O26" s="136"/>
      <x:c r="P26" s="136"/>
      <x:c r="Q26" s="136"/>
      <x:c r="R26" s="136"/>
      <x:c r="S26" s="136"/>
      <x:c r="T26" s="136"/>
      <x:c r="U26" s="136"/>
      <x:c r="V26" s="136"/>
      <x:c r="W26" s="136"/>
      <x:c r="X26" s="136"/>
      <x:c r="Y26" s="136"/>
      <x:c r="Z26" s="136"/>
    </x:row>
    <x:row r="27">
      <x:c r="A27" s="136"/>
      <x:c r="B27" s="136"/>
      <x:c r="C27" s="136"/>
      <x:c r="D27" s="136"/>
      <x:c r="E27" s="136"/>
      <x:c r="F27" s="136"/>
      <x:c r="G27" s="136"/>
      <x:c r="H27" s="136"/>
      <x:c r="I27" s="136"/>
      <x:c r="J27" s="136"/>
      <x:c r="K27" s="136"/>
      <x:c r="L27" s="136"/>
      <x:c r="M27" s="136"/>
      <x:c r="N27" s="136"/>
      <x:c r="O27" s="136"/>
      <x:c r="P27" s="136"/>
      <x:c r="Q27" s="136"/>
      <x:c r="R27" s="136"/>
      <x:c r="S27" s="136"/>
      <x:c r="T27" s="136"/>
      <x:c r="U27" s="136"/>
      <x:c r="V27" s="136"/>
      <x:c r="W27" s="136"/>
      <x:c r="X27" s="136"/>
      <x:c r="Y27" s="136"/>
      <x:c r="Z27" s="136"/>
    </x:row>
    <x:row r="28">
      <x:c r="A28" s="136"/>
      <x:c r="B28" s="136"/>
      <x:c r="C28" s="136"/>
      <x:c r="D28" s="136"/>
      <x:c r="E28" s="136"/>
      <x:c r="F28" s="136"/>
      <x:c r="G28" s="136"/>
      <x:c r="H28" s="136"/>
      <x:c r="I28" s="136"/>
      <x:c r="J28" s="136"/>
      <x:c r="K28" s="136"/>
      <x:c r="L28" s="136"/>
      <x:c r="M28" s="136"/>
      <x:c r="N28" s="136"/>
      <x:c r="O28" s="136"/>
      <x:c r="P28" s="136"/>
      <x:c r="Q28" s="136"/>
      <x:c r="R28" s="136"/>
      <x:c r="S28" s="136"/>
      <x:c r="T28" s="136"/>
      <x:c r="U28" s="136"/>
      <x:c r="V28" s="136"/>
      <x:c r="W28" s="136"/>
      <x:c r="X28" s="136"/>
      <x:c r="Y28" s="136"/>
      <x:c r="Z28" s="136"/>
    </x:row>
    <x:row r="29">
      <x:c r="A29" s="136"/>
      <x:c r="B29" s="136"/>
      <x:c r="C29" s="136"/>
      <x:c r="D29" s="136"/>
      <x:c r="E29" s="136"/>
      <x:c r="F29" s="136"/>
      <x:c r="G29" s="136"/>
      <x:c r="H29" s="136"/>
      <x:c r="I29" s="136"/>
      <x:c r="J29" s="136"/>
      <x:c r="K29" s="136"/>
      <x:c r="L29" s="136"/>
      <x:c r="M29" s="136"/>
      <x:c r="N29" s="136"/>
      <x:c r="O29" s="136"/>
      <x:c r="P29" s="136"/>
      <x:c r="Q29" s="136"/>
      <x:c r="R29" s="136"/>
      <x:c r="S29" s="136"/>
      <x:c r="T29" s="136"/>
      <x:c r="U29" s="136"/>
      <x:c r="V29" s="136"/>
      <x:c r="W29" s="136"/>
      <x:c r="X29" s="136"/>
      <x:c r="Y29" s="136"/>
      <x:c r="Z29" s="136"/>
    </x:row>
    <x:row r="30">
      <x:c r="A30" s="136"/>
      <x:c r="B30" s="136"/>
      <x:c r="C30" s="136"/>
      <x:c r="D30" s="136"/>
      <x:c r="E30" s="136"/>
      <x:c r="F30" s="136"/>
      <x:c r="G30" s="136"/>
      <x:c r="H30" s="136"/>
      <x:c r="I30" s="136"/>
      <x:c r="J30" s="136"/>
      <x:c r="K30" s="136"/>
      <x:c r="L30" s="136"/>
      <x:c r="M30" s="136"/>
      <x:c r="N30" s="136"/>
      <x:c r="O30" s="136"/>
      <x:c r="P30" s="136"/>
      <x:c r="Q30" s="136"/>
      <x:c r="R30" s="136"/>
      <x:c r="S30" s="136"/>
      <x:c r="T30" s="136"/>
      <x:c r="U30" s="136"/>
      <x:c r="V30" s="136"/>
      <x:c r="W30" s="136"/>
      <x:c r="X30" s="136"/>
      <x:c r="Y30" s="136"/>
      <x:c r="Z30" s="136"/>
    </x:row>
    <x:row r="31">
      <x:c r="A31" s="136"/>
      <x:c r="B31" s="136"/>
      <x:c r="C31" s="136"/>
      <x:c r="D31" s="136"/>
      <x:c r="E31" s="136"/>
      <x:c r="F31" s="136"/>
      <x:c r="G31" s="136"/>
      <x:c r="H31" s="136"/>
      <x:c r="I31" s="136"/>
      <x:c r="J31" s="136"/>
      <x:c r="K31" s="136"/>
      <x:c r="L31" s="136"/>
      <x:c r="M31" s="136"/>
      <x:c r="N31" s="136"/>
      <x:c r="O31" s="136"/>
      <x:c r="P31" s="136"/>
      <x:c r="Q31" s="136"/>
      <x:c r="R31" s="136"/>
      <x:c r="S31" s="136"/>
      <x:c r="T31" s="136"/>
      <x:c r="U31" s="136"/>
      <x:c r="V31" s="136"/>
      <x:c r="W31" s="136"/>
      <x:c r="X31" s="136"/>
      <x:c r="Y31" s="136"/>
      <x:c r="Z31" s="136"/>
    </x:row>
    <x:row r="32">
      <x:c r="A32" s="136"/>
      <x:c r="B32" s="136"/>
      <x:c r="C32" s="136"/>
      <x:c r="D32" s="136"/>
      <x:c r="E32" s="136"/>
      <x:c r="F32" s="136"/>
      <x:c r="G32" s="136"/>
      <x:c r="H32" s="136"/>
      <x:c r="I32" s="136"/>
      <x:c r="J32" s="136"/>
      <x:c r="K32" s="136"/>
      <x:c r="L32" s="136"/>
      <x:c r="M32" s="136"/>
      <x:c r="N32" s="136"/>
      <x:c r="O32" s="136"/>
      <x:c r="P32" s="136"/>
      <x:c r="Q32" s="136"/>
      <x:c r="R32" s="136"/>
      <x:c r="S32" s="136"/>
      <x:c r="T32" s="136"/>
      <x:c r="U32" s="136"/>
      <x:c r="V32" s="136"/>
      <x:c r="W32" s="136"/>
      <x:c r="X32" s="136"/>
      <x:c r="Y32" s="136"/>
      <x:c r="Z32" s="136"/>
    </x:row>
    <x:row r="33">
      <x:c r="A33" s="136"/>
      <x:c r="B33" s="136"/>
      <x:c r="C33" s="136"/>
      <x:c r="D33" s="136"/>
      <x:c r="E33" s="136"/>
      <x:c r="F33" s="136"/>
      <x:c r="G33" s="136"/>
      <x:c r="H33" s="136"/>
      <x:c r="I33" s="136"/>
      <x:c r="J33" s="136"/>
      <x:c r="K33" s="136"/>
      <x:c r="L33" s="136"/>
      <x:c r="M33" s="136"/>
      <x:c r="N33" s="136"/>
      <x:c r="O33" s="136"/>
      <x:c r="P33" s="136"/>
      <x:c r="Q33" s="136"/>
      <x:c r="R33" s="136"/>
      <x:c r="S33" s="136"/>
      <x:c r="T33" s="136"/>
      <x:c r="U33" s="136"/>
      <x:c r="V33" s="136"/>
      <x:c r="W33" s="136"/>
      <x:c r="X33" s="136"/>
      <x:c r="Y33" s="136"/>
      <x:c r="Z33" s="136"/>
    </x:row>
    <x:row r="34">
      <x:c r="A34" s="136"/>
      <x:c r="B34" s="136"/>
      <x:c r="C34" s="136"/>
      <x:c r="D34" s="136"/>
      <x:c r="E34" s="136"/>
      <x:c r="F34" s="136"/>
      <x:c r="G34" s="136"/>
      <x:c r="H34" s="136"/>
      <x:c r="I34" s="136"/>
      <x:c r="J34" s="136"/>
      <x:c r="K34" s="136"/>
      <x:c r="L34" s="136"/>
      <x:c r="M34" s="136"/>
      <x:c r="N34" s="136"/>
      <x:c r="O34" s="136"/>
      <x:c r="P34" s="136"/>
      <x:c r="Q34" s="136"/>
      <x:c r="R34" s="136"/>
      <x:c r="S34" s="136"/>
      <x:c r="T34" s="136"/>
      <x:c r="U34" s="136"/>
      <x:c r="V34" s="136"/>
      <x:c r="W34" s="136"/>
      <x:c r="X34" s="136"/>
      <x:c r="Y34" s="136"/>
      <x:c r="Z34" s="136"/>
    </x:row>
    <x:row r="35">
      <x:c r="A35" s="136"/>
      <x:c r="B35" s="136"/>
      <x:c r="C35" s="136"/>
      <x:c r="D35" s="136"/>
      <x:c r="E35" s="136"/>
      <x:c r="F35" s="136"/>
      <x:c r="G35" s="136"/>
      <x:c r="H35" s="136"/>
      <x:c r="I35" s="136"/>
      <x:c r="J35" s="136"/>
      <x:c r="K35" s="136"/>
      <x:c r="L35" s="136"/>
      <x:c r="M35" s="136"/>
      <x:c r="N35" s="136"/>
      <x:c r="O35" s="136"/>
      <x:c r="P35" s="136"/>
      <x:c r="Q35" s="136"/>
      <x:c r="R35" s="136"/>
      <x:c r="S35" s="136"/>
      <x:c r="T35" s="136"/>
      <x:c r="U35" s="136"/>
      <x:c r="V35" s="136"/>
      <x:c r="W35" s="136"/>
      <x:c r="X35" s="136"/>
      <x:c r="Y35" s="136"/>
      <x:c r="Z35" s="136"/>
    </x:row>
    <x:row r="36">
      <x:c r="A36" s="136"/>
      <x:c r="B36" s="136"/>
      <x:c r="C36" s="136"/>
      <x:c r="D36" s="136"/>
      <x:c r="E36" s="136"/>
      <x:c r="F36" s="136"/>
      <x:c r="G36" s="136"/>
      <x:c r="H36" s="136"/>
      <x:c r="I36" s="136"/>
      <x:c r="J36" s="136"/>
      <x:c r="K36" s="136"/>
      <x:c r="L36" s="136"/>
      <x:c r="M36" s="136"/>
      <x:c r="N36" s="136"/>
      <x:c r="O36" s="136"/>
      <x:c r="P36" s="136"/>
      <x:c r="Q36" s="136"/>
      <x:c r="R36" s="136"/>
      <x:c r="S36" s="136"/>
      <x:c r="T36" s="136"/>
      <x:c r="U36" s="136"/>
      <x:c r="V36" s="136"/>
      <x:c r="W36" s="136"/>
      <x:c r="X36" s="136"/>
      <x:c r="Y36" s="136"/>
      <x:c r="Z36" s="136"/>
    </x:row>
    <x:row r="37">
      <x:c r="A37" s="136"/>
      <x:c r="B37" s="136"/>
      <x:c r="C37" s="136"/>
      <x:c r="D37" s="136"/>
      <x:c r="E37" s="136"/>
      <x:c r="F37" s="136"/>
      <x:c r="G37" s="136"/>
      <x:c r="H37" s="136"/>
      <x:c r="I37" s="136"/>
      <x:c r="J37" s="136"/>
      <x:c r="K37" s="136"/>
      <x:c r="L37" s="136"/>
      <x:c r="M37" s="136"/>
      <x:c r="N37" s="136"/>
      <x:c r="O37" s="136"/>
      <x:c r="P37" s="136"/>
      <x:c r="Q37" s="136"/>
      <x:c r="R37" s="136"/>
      <x:c r="S37" s="136"/>
      <x:c r="T37" s="136"/>
      <x:c r="U37" s="136"/>
      <x:c r="V37" s="136"/>
      <x:c r="W37" s="136"/>
      <x:c r="X37" s="136"/>
      <x:c r="Y37" s="136"/>
      <x:c r="Z37" s="136"/>
    </x:row>
    <x:row r="38">
      <x:c r="A38" s="136"/>
      <x:c r="B38" s="136"/>
      <x:c r="C38" s="136"/>
      <x:c r="D38" s="136"/>
      <x:c r="E38" s="136"/>
      <x:c r="F38" s="136"/>
      <x:c r="G38" s="136"/>
      <x:c r="H38" s="136"/>
      <x:c r="I38" s="136"/>
      <x:c r="J38" s="136"/>
      <x:c r="K38" s="136"/>
      <x:c r="L38" s="136"/>
      <x:c r="M38" s="136"/>
      <x:c r="N38" s="136"/>
      <x:c r="O38" s="136"/>
      <x:c r="P38" s="136"/>
      <x:c r="Q38" s="136"/>
      <x:c r="R38" s="136"/>
      <x:c r="S38" s="136"/>
      <x:c r="T38" s="136"/>
      <x:c r="U38" s="136"/>
      <x:c r="V38" s="136"/>
      <x:c r="W38" s="136"/>
      <x:c r="X38" s="136"/>
      <x:c r="Y38" s="136"/>
      <x:c r="Z38" s="136"/>
    </x:row>
    <x:row r="39">
      <x:c r="A39" s="136"/>
      <x:c r="B39" s="136"/>
      <x:c r="C39" s="136"/>
      <x:c r="D39" s="136"/>
      <x:c r="E39" s="136"/>
      <x:c r="F39" s="136"/>
      <x:c r="G39" s="136"/>
      <x:c r="H39" s="136"/>
      <x:c r="I39" s="136"/>
      <x:c r="J39" s="136"/>
      <x:c r="K39" s="136"/>
      <x:c r="L39" s="136"/>
      <x:c r="M39" s="136"/>
      <x:c r="N39" s="136"/>
      <x:c r="O39" s="136"/>
      <x:c r="P39" s="136"/>
      <x:c r="Q39" s="136"/>
      <x:c r="R39" s="136"/>
      <x:c r="S39" s="136"/>
      <x:c r="T39" s="136"/>
      <x:c r="U39" s="136"/>
      <x:c r="V39" s="136"/>
      <x:c r="W39" s="136"/>
      <x:c r="X39" s="136"/>
      <x:c r="Y39" s="136"/>
      <x:c r="Z39" s="136"/>
    </x:row>
    <x:row r="40">
      <x:c r="A40" s="136"/>
      <x:c r="B40" s="136"/>
      <x:c r="C40" s="136"/>
      <x:c r="D40" s="136"/>
      <x:c r="E40" s="136"/>
      <x:c r="F40" s="136"/>
      <x:c r="G40" s="136"/>
      <x:c r="H40" s="136"/>
      <x:c r="I40" s="136"/>
      <x:c r="J40" s="136"/>
      <x:c r="K40" s="136"/>
      <x:c r="L40" s="136"/>
      <x:c r="M40" s="136"/>
      <x:c r="N40" s="136"/>
      <x:c r="O40" s="136"/>
      <x:c r="P40" s="136"/>
      <x:c r="Q40" s="136"/>
      <x:c r="R40" s="136"/>
      <x:c r="S40" s="136"/>
      <x:c r="T40" s="136"/>
      <x:c r="U40" s="136"/>
      <x:c r="V40" s="136"/>
      <x:c r="W40" s="136"/>
      <x:c r="X40" s="136"/>
      <x:c r="Y40" s="136"/>
      <x:c r="Z40" s="136"/>
    </x:row>
    <x:row r="41">
      <x:c r="A41" s="136"/>
      <x:c r="B41" s="136"/>
      <x:c r="C41" s="136"/>
      <x:c r="D41" s="136"/>
      <x:c r="E41" s="136"/>
      <x:c r="F41" s="136"/>
      <x:c r="G41" s="136"/>
      <x:c r="H41" s="136"/>
      <x:c r="I41" s="136"/>
      <x:c r="J41" s="136"/>
      <x:c r="K41" s="136"/>
      <x:c r="L41" s="136"/>
      <x:c r="M41" s="136"/>
      <x:c r="N41" s="136"/>
      <x:c r="O41" s="136"/>
      <x:c r="P41" s="136"/>
      <x:c r="Q41" s="136"/>
      <x:c r="R41" s="136"/>
      <x:c r="S41" s="136"/>
      <x:c r="T41" s="136"/>
      <x:c r="U41" s="136"/>
      <x:c r="V41" s="136"/>
      <x:c r="W41" s="136"/>
      <x:c r="X41" s="136"/>
      <x:c r="Y41" s="136"/>
      <x:c r="Z41" s="136"/>
    </x:row>
    <x:row r="42">
      <x:c r="A42" s="136"/>
      <x:c r="B42" s="136"/>
      <x:c r="C42" s="136"/>
      <x:c r="D42" s="136"/>
      <x:c r="E42" s="136"/>
      <x:c r="F42" s="136"/>
      <x:c r="G42" s="136"/>
      <x:c r="H42" s="136"/>
      <x:c r="I42" s="136"/>
      <x:c r="J42" s="136"/>
      <x:c r="K42" s="136"/>
      <x:c r="L42" s="136"/>
      <x:c r="M42" s="136"/>
      <x:c r="N42" s="136"/>
      <x:c r="O42" s="136"/>
      <x:c r="P42" s="136"/>
      <x:c r="Q42" s="136"/>
      <x:c r="R42" s="136"/>
      <x:c r="S42" s="136"/>
      <x:c r="T42" s="136"/>
      <x:c r="U42" s="136"/>
      <x:c r="V42" s="136"/>
      <x:c r="W42" s="136"/>
      <x:c r="X42" s="136"/>
      <x:c r="Y42" s="136"/>
      <x:c r="Z42" s="136"/>
    </x:row>
    <x:row r="43">
      <x:c r="A43" s="136"/>
      <x:c r="B43" s="136"/>
      <x:c r="C43" s="136"/>
      <x:c r="D43" s="136"/>
      <x:c r="E43" s="136"/>
      <x:c r="F43" s="136"/>
      <x:c r="G43" s="136"/>
      <x:c r="H43" s="136"/>
      <x:c r="I43" s="136"/>
      <x:c r="J43" s="136"/>
      <x:c r="K43" s="136"/>
      <x:c r="L43" s="136"/>
      <x:c r="M43" s="136"/>
      <x:c r="N43" s="136"/>
      <x:c r="O43" s="136"/>
      <x:c r="P43" s="136"/>
      <x:c r="Q43" s="136"/>
      <x:c r="R43" s="136"/>
      <x:c r="S43" s="136"/>
      <x:c r="T43" s="136"/>
      <x:c r="U43" s="136"/>
      <x:c r="V43" s="136"/>
      <x:c r="W43" s="136"/>
      <x:c r="X43" s="136"/>
      <x:c r="Y43" s="136"/>
      <x:c r="Z43" s="136"/>
    </x:row>
    <x:row r="44">
      <x:c r="A44" s="136"/>
      <x:c r="B44" s="136"/>
      <x:c r="C44" s="136"/>
      <x:c r="D44" s="136"/>
      <x:c r="E44" s="136"/>
      <x:c r="F44" s="136"/>
      <x:c r="G44" s="136"/>
      <x:c r="H44" s="136"/>
      <x:c r="I44" s="136"/>
      <x:c r="J44" s="136"/>
      <x:c r="K44" s="136"/>
      <x:c r="L44" s="136"/>
      <x:c r="M44" s="136"/>
      <x:c r="N44" s="136"/>
      <x:c r="O44" s="136"/>
      <x:c r="P44" s="136"/>
      <x:c r="Q44" s="136"/>
      <x:c r="R44" s="136"/>
      <x:c r="S44" s="136"/>
      <x:c r="T44" s="136"/>
      <x:c r="U44" s="136"/>
      <x:c r="V44" s="136"/>
      <x:c r="W44" s="136"/>
      <x:c r="X44" s="136"/>
      <x:c r="Y44" s="136"/>
      <x:c r="Z44" s="136"/>
    </x:row>
    <x:row r="45">
      <x:c r="A45" s="136"/>
      <x:c r="B45" s="136"/>
      <x:c r="C45" s="136"/>
      <x:c r="D45" s="136"/>
      <x:c r="E45" s="136"/>
      <x:c r="F45" s="136"/>
      <x:c r="G45" s="136"/>
      <x:c r="H45" s="136"/>
      <x:c r="I45" s="136"/>
      <x:c r="J45" s="136"/>
      <x:c r="K45" s="136"/>
      <x:c r="L45" s="136"/>
      <x:c r="M45" s="136"/>
      <x:c r="N45" s="136"/>
      <x:c r="O45" s="136"/>
      <x:c r="P45" s="136"/>
      <x:c r="Q45" s="136"/>
      <x:c r="R45" s="136"/>
      <x:c r="S45" s="136"/>
      <x:c r="T45" s="136"/>
      <x:c r="U45" s="136"/>
      <x:c r="V45" s="136"/>
      <x:c r="W45" s="136"/>
      <x:c r="X45" s="136"/>
      <x:c r="Y45" s="136"/>
      <x:c r="Z45" s="136"/>
    </x:row>
    <x:row r="46">
      <x:c r="A46" s="136"/>
      <x:c r="B46" s="136"/>
      <x:c r="C46" s="136"/>
      <x:c r="D46" s="136"/>
      <x:c r="E46" s="136"/>
      <x:c r="F46" s="136"/>
      <x:c r="G46" s="136"/>
      <x:c r="H46" s="136"/>
      <x:c r="I46" s="136"/>
      <x:c r="J46" s="136"/>
      <x:c r="K46" s="136"/>
      <x:c r="L46" s="136"/>
      <x:c r="M46" s="136"/>
      <x:c r="N46" s="136"/>
      <x:c r="O46" s="136"/>
      <x:c r="P46" s="136"/>
      <x:c r="Q46" s="136"/>
      <x:c r="R46" s="136"/>
      <x:c r="S46" s="136"/>
      <x:c r="T46" s="136"/>
      <x:c r="U46" s="136"/>
      <x:c r="V46" s="136"/>
      <x:c r="W46" s="136"/>
      <x:c r="X46" s="136"/>
      <x:c r="Y46" s="136"/>
      <x:c r="Z46" s="136"/>
    </x:row>
    <x:row r="47">
      <x:c r="A47" s="136"/>
      <x:c r="B47" s="136"/>
      <x:c r="C47" s="136"/>
      <x:c r="D47" s="136"/>
      <x:c r="E47" s="136"/>
      <x:c r="F47" s="136"/>
      <x:c r="G47" s="136"/>
      <x:c r="H47" s="136"/>
      <x:c r="I47" s="136"/>
      <x:c r="J47" s="136"/>
      <x:c r="K47" s="136"/>
      <x:c r="L47" s="136"/>
      <x:c r="M47" s="136"/>
      <x:c r="N47" s="136"/>
      <x:c r="O47" s="136"/>
      <x:c r="P47" s="136"/>
      <x:c r="Q47" s="136"/>
      <x:c r="R47" s="136"/>
      <x:c r="S47" s="136"/>
      <x:c r="T47" s="136"/>
      <x:c r="U47" s="136"/>
      <x:c r="V47" s="136"/>
      <x:c r="W47" s="136"/>
      <x:c r="X47" s="136"/>
      <x:c r="Y47" s="136"/>
      <x:c r="Z47" s="136"/>
    </x:row>
    <x:row r="48">
      <x:c r="A48" s="136"/>
      <x:c r="B48" s="136"/>
      <x:c r="C48" s="136"/>
      <x:c r="D48" s="136"/>
      <x:c r="E48" s="136"/>
      <x:c r="F48" s="136"/>
      <x:c r="G48" s="136"/>
      <x:c r="H48" s="136"/>
      <x:c r="I48" s="136"/>
      <x:c r="J48" s="136"/>
      <x:c r="K48" s="136"/>
      <x:c r="L48" s="136"/>
      <x:c r="M48" s="136"/>
      <x:c r="N48" s="136"/>
      <x:c r="O48" s="136"/>
      <x:c r="P48" s="136"/>
      <x:c r="Q48" s="136"/>
      <x:c r="R48" s="136"/>
      <x:c r="S48" s="136"/>
      <x:c r="T48" s="136"/>
      <x:c r="U48" s="136"/>
      <x:c r="V48" s="136"/>
      <x:c r="W48" s="136"/>
      <x:c r="X48" s="136"/>
      <x:c r="Y48" s="136"/>
      <x:c r="Z48" s="136"/>
    </x:row>
    <x:row r="49">
      <x:c r="A49" s="136"/>
      <x:c r="B49" s="136"/>
      <x:c r="C49" s="136"/>
      <x:c r="D49" s="136"/>
      <x:c r="E49" s="136"/>
      <x:c r="F49" s="136"/>
      <x:c r="G49" s="136"/>
      <x:c r="H49" s="136"/>
      <x:c r="I49" s="136"/>
      <x:c r="J49" s="136"/>
      <x:c r="K49" s="136"/>
      <x:c r="L49" s="136"/>
      <x:c r="M49" s="136"/>
      <x:c r="N49" s="136"/>
      <x:c r="O49" s="136"/>
      <x:c r="P49" s="136"/>
      <x:c r="Q49" s="136"/>
      <x:c r="R49" s="136"/>
      <x:c r="S49" s="136"/>
      <x:c r="T49" s="136"/>
      <x:c r="U49" s="136"/>
      <x:c r="V49" s="136"/>
      <x:c r="W49" s="136"/>
      <x:c r="X49" s="136"/>
      <x:c r="Y49" s="136"/>
      <x:c r="Z49" s="136"/>
    </x:row>
    <x:row r="50">
      <x:c r="A50" s="136"/>
      <x:c r="B50" s="136"/>
      <x:c r="C50" s="136"/>
      <x:c r="D50" s="136"/>
      <x:c r="E50" s="136"/>
      <x:c r="F50" s="136"/>
      <x:c r="G50" s="136"/>
      <x:c r="H50" s="136"/>
      <x:c r="I50" s="136"/>
      <x:c r="J50" s="136"/>
      <x:c r="K50" s="136"/>
      <x:c r="L50" s="136"/>
      <x:c r="M50" s="136"/>
      <x:c r="N50" s="136"/>
      <x:c r="O50" s="136"/>
      <x:c r="P50" s="136"/>
      <x:c r="Q50" s="136"/>
      <x:c r="R50" s="136"/>
      <x:c r="S50" s="136"/>
      <x:c r="T50" s="136"/>
      <x:c r="U50" s="136"/>
      <x:c r="V50" s="136"/>
      <x:c r="W50" s="136"/>
      <x:c r="X50" s="136"/>
      <x:c r="Y50" s="136"/>
      <x:c r="Z50" s="136"/>
    </x:row>
    <x:row r="51">
      <x:c r="A51" s="136"/>
      <x:c r="B51" s="136"/>
      <x:c r="C51" s="136"/>
      <x:c r="D51" s="136"/>
      <x:c r="E51" s="136"/>
      <x:c r="F51" s="136"/>
      <x:c r="G51" s="136"/>
      <x:c r="H51" s="136"/>
      <x:c r="I51" s="136"/>
      <x:c r="J51" s="136"/>
      <x:c r="K51" s="136"/>
      <x:c r="L51" s="136"/>
      <x:c r="M51" s="136"/>
      <x:c r="N51" s="136"/>
      <x:c r="O51" s="136"/>
      <x:c r="P51" s="136"/>
      <x:c r="Q51" s="136"/>
      <x:c r="R51" s="136"/>
      <x:c r="S51" s="136"/>
      <x:c r="T51" s="136"/>
      <x:c r="U51" s="136"/>
      <x:c r="V51" s="136"/>
      <x:c r="W51" s="136"/>
      <x:c r="X51" s="136"/>
      <x:c r="Y51" s="136"/>
      <x:c r="Z51" s="136"/>
    </x:row>
    <x:row r="52">
      <x:c r="A52" s="136"/>
      <x:c r="B52" s="136"/>
      <x:c r="C52" s="136"/>
      <x:c r="D52" s="136"/>
      <x:c r="E52" s="136"/>
      <x:c r="F52" s="136"/>
      <x:c r="G52" s="136"/>
      <x:c r="H52" s="136"/>
      <x:c r="I52" s="136"/>
      <x:c r="J52" s="136"/>
      <x:c r="K52" s="136"/>
      <x:c r="L52" s="136"/>
      <x:c r="M52" s="136"/>
      <x:c r="N52" s="136"/>
      <x:c r="O52" s="136"/>
      <x:c r="P52" s="136"/>
      <x:c r="Q52" s="136"/>
      <x:c r="R52" s="136"/>
      <x:c r="S52" s="136"/>
      <x:c r="T52" s="136"/>
      <x:c r="U52" s="136"/>
      <x:c r="V52" s="136"/>
      <x:c r="W52" s="136"/>
      <x:c r="X52" s="136"/>
      <x:c r="Y52" s="136"/>
      <x:c r="Z52" s="136"/>
    </x:row>
    <x:row r="53">
      <x:c r="A53" s="136"/>
      <x:c r="B53" s="136"/>
      <x:c r="C53" s="136"/>
      <x:c r="D53" s="136"/>
      <x:c r="E53" s="136"/>
      <x:c r="F53" s="136"/>
      <x:c r="G53" s="136"/>
      <x:c r="H53" s="136"/>
      <x:c r="I53" s="136"/>
      <x:c r="J53" s="136"/>
      <x:c r="K53" s="136"/>
      <x:c r="L53" s="136"/>
      <x:c r="M53" s="136"/>
      <x:c r="N53" s="136"/>
      <x:c r="O53" s="136"/>
      <x:c r="P53" s="136"/>
      <x:c r="Q53" s="136"/>
      <x:c r="R53" s="136"/>
      <x:c r="S53" s="136"/>
      <x:c r="T53" s="136"/>
      <x:c r="U53" s="136"/>
      <x:c r="V53" s="136"/>
      <x:c r="W53" s="136"/>
      <x:c r="X53" s="136"/>
      <x:c r="Y53" s="136"/>
      <x:c r="Z53" s="136"/>
    </x:row>
    <x:row r="54">
      <x:c r="A54" s="136"/>
      <x:c r="B54" s="136"/>
      <x:c r="C54" s="136"/>
      <x:c r="D54" s="136"/>
      <x:c r="E54" s="136"/>
      <x:c r="F54" s="136"/>
      <x:c r="G54" s="136"/>
      <x:c r="H54" s="136"/>
      <x:c r="I54" s="136"/>
      <x:c r="J54" s="136"/>
      <x:c r="K54" s="136"/>
      <x:c r="L54" s="136"/>
      <x:c r="M54" s="136"/>
      <x:c r="N54" s="136"/>
      <x:c r="O54" s="136"/>
      <x:c r="P54" s="136"/>
      <x:c r="Q54" s="136"/>
      <x:c r="R54" s="136"/>
      <x:c r="S54" s="136"/>
      <x:c r="T54" s="136"/>
      <x:c r="U54" s="136"/>
      <x:c r="V54" s="136"/>
      <x:c r="W54" s="136"/>
      <x:c r="X54" s="136"/>
      <x:c r="Y54" s="136"/>
      <x:c r="Z54" s="136"/>
    </x:row>
    <x:row r="55">
      <x:c r="A55" s="136"/>
      <x:c r="B55" s="136"/>
      <x:c r="C55" s="136"/>
      <x:c r="D55" s="136"/>
      <x:c r="E55" s="136"/>
      <x:c r="F55" s="136"/>
      <x:c r="G55" s="136"/>
      <x:c r="H55" s="136"/>
      <x:c r="I55" s="136"/>
      <x:c r="J55" s="136"/>
      <x:c r="K55" s="136"/>
      <x:c r="L55" s="136"/>
      <x:c r="M55" s="136"/>
      <x:c r="N55" s="136"/>
      <x:c r="O55" s="136"/>
      <x:c r="P55" s="136"/>
      <x:c r="Q55" s="136"/>
      <x:c r="R55" s="136"/>
      <x:c r="S55" s="136"/>
      <x:c r="T55" s="136"/>
      <x:c r="U55" s="136"/>
      <x:c r="V55" s="136"/>
      <x:c r="W55" s="136"/>
      <x:c r="X55" s="136"/>
      <x:c r="Y55" s="136"/>
      <x:c r="Z55" s="136"/>
    </x:row>
    <x:row r="56">
      <x:c r="A56" s="136"/>
      <x:c r="B56" s="136"/>
      <x:c r="C56" s="136"/>
      <x:c r="D56" s="136"/>
      <x:c r="E56" s="136"/>
      <x:c r="F56" s="136"/>
      <x:c r="G56" s="136"/>
      <x:c r="H56" s="136"/>
      <x:c r="I56" s="136"/>
      <x:c r="J56" s="136"/>
      <x:c r="K56" s="136"/>
      <x:c r="L56" s="136"/>
      <x:c r="M56" s="136"/>
      <x:c r="N56" s="136"/>
      <x:c r="O56" s="136"/>
      <x:c r="P56" s="136"/>
      <x:c r="Q56" s="136"/>
      <x:c r="R56" s="136"/>
      <x:c r="S56" s="136"/>
      <x:c r="T56" s="136"/>
      <x:c r="U56" s="136"/>
      <x:c r="V56" s="136"/>
      <x:c r="W56" s="136"/>
      <x:c r="X56" s="136"/>
      <x:c r="Y56" s="136"/>
      <x:c r="Z56" s="136"/>
    </x:row>
    <x:row r="57">
      <x:c r="A57" s="136"/>
      <x:c r="B57" s="136"/>
      <x:c r="C57" s="136"/>
      <x:c r="D57" s="136"/>
      <x:c r="E57" s="136"/>
      <x:c r="F57" s="136"/>
      <x:c r="G57" s="136"/>
      <x:c r="H57" s="136"/>
      <x:c r="I57" s="136"/>
      <x:c r="J57" s="136"/>
      <x:c r="K57" s="136"/>
      <x:c r="L57" s="136"/>
      <x:c r="M57" s="136"/>
      <x:c r="N57" s="136"/>
      <x:c r="O57" s="136"/>
      <x:c r="P57" s="136"/>
      <x:c r="Q57" s="136"/>
      <x:c r="R57" s="136"/>
      <x:c r="S57" s="136"/>
      <x:c r="T57" s="136"/>
      <x:c r="U57" s="136"/>
      <x:c r="V57" s="136"/>
      <x:c r="W57" s="136"/>
      <x:c r="X57" s="136"/>
      <x:c r="Y57" s="136"/>
      <x:c r="Z57" s="136"/>
    </x:row>
    <x:row r="58">
      <x:c r="A58" s="136"/>
      <x:c r="B58" s="136"/>
      <x:c r="C58" s="136"/>
      <x:c r="D58" s="136"/>
      <x:c r="E58" s="136"/>
      <x:c r="F58" s="136"/>
      <x:c r="G58" s="136"/>
      <x:c r="H58" s="136"/>
      <x:c r="I58" s="136"/>
      <x:c r="J58" s="136"/>
      <x:c r="K58" s="136"/>
      <x:c r="L58" s="136"/>
      <x:c r="M58" s="136"/>
      <x:c r="N58" s="136"/>
      <x:c r="O58" s="136"/>
      <x:c r="P58" s="136"/>
      <x:c r="Q58" s="136"/>
      <x:c r="R58" s="136"/>
      <x:c r="S58" s="136"/>
      <x:c r="T58" s="136"/>
      <x:c r="U58" s="136"/>
      <x:c r="V58" s="136"/>
      <x:c r="W58" s="136"/>
      <x:c r="X58" s="136"/>
      <x:c r="Y58" s="136"/>
      <x:c r="Z58" s="136"/>
    </x:row>
    <x:row r="59">
      <x:c r="A59" s="136"/>
      <x:c r="B59" s="136"/>
      <x:c r="C59" s="136"/>
      <x:c r="D59" s="136"/>
      <x:c r="E59" s="136"/>
      <x:c r="F59" s="136"/>
      <x:c r="G59" s="136"/>
      <x:c r="H59" s="136"/>
      <x:c r="I59" s="136"/>
      <x:c r="J59" s="136"/>
      <x:c r="K59" s="136"/>
      <x:c r="L59" s="136"/>
      <x:c r="M59" s="136"/>
      <x:c r="N59" s="136"/>
      <x:c r="O59" s="136"/>
      <x:c r="P59" s="136"/>
      <x:c r="Q59" s="136"/>
      <x:c r="R59" s="136"/>
      <x:c r="S59" s="136"/>
      <x:c r="T59" s="136"/>
      <x:c r="U59" s="136"/>
      <x:c r="V59" s="136"/>
      <x:c r="W59" s="136"/>
      <x:c r="X59" s="136"/>
      <x:c r="Y59" s="136"/>
      <x:c r="Z59" s="136"/>
    </x:row>
    <x:row r="60">
      <x:c r="A60" s="136"/>
      <x:c r="B60" s="136"/>
      <x:c r="C60" s="136"/>
      <x:c r="D60" s="136"/>
      <x:c r="E60" s="136"/>
      <x:c r="F60" s="136"/>
      <x:c r="G60" s="136"/>
      <x:c r="H60" s="136"/>
      <x:c r="I60" s="136"/>
      <x:c r="J60" s="136"/>
      <x:c r="K60" s="136"/>
      <x:c r="L60" s="136"/>
      <x:c r="M60" s="136"/>
      <x:c r="N60" s="136"/>
      <x:c r="O60" s="136"/>
      <x:c r="P60" s="136"/>
      <x:c r="Q60" s="136"/>
      <x:c r="R60" s="136"/>
      <x:c r="S60" s="136"/>
      <x:c r="T60" s="136"/>
      <x:c r="U60" s="136"/>
      <x:c r="V60" s="136"/>
      <x:c r="W60" s="136"/>
      <x:c r="X60" s="136"/>
      <x:c r="Y60" s="136"/>
      <x:c r="Z60" s="136"/>
    </x:row>
    <x:row r="61">
      <x:c r="A61" s="136"/>
      <x:c r="B61" s="136"/>
      <x:c r="C61" s="136"/>
      <x:c r="D61" s="136"/>
      <x:c r="E61" s="136"/>
      <x:c r="F61" s="136"/>
      <x:c r="G61" s="136"/>
      <x:c r="H61" s="136"/>
      <x:c r="I61" s="136"/>
      <x:c r="J61" s="136"/>
      <x:c r="K61" s="136"/>
      <x:c r="L61" s="136"/>
      <x:c r="M61" s="136"/>
      <x:c r="N61" s="136"/>
      <x:c r="O61" s="136"/>
      <x:c r="P61" s="136"/>
      <x:c r="Q61" s="136"/>
      <x:c r="R61" s="136"/>
      <x:c r="S61" s="136"/>
      <x:c r="T61" s="136"/>
      <x:c r="U61" s="136"/>
      <x:c r="V61" s="136"/>
      <x:c r="W61" s="136"/>
      <x:c r="X61" s="136"/>
      <x:c r="Y61" s="136"/>
      <x:c r="Z61" s="136"/>
    </x:row>
    <x:row r="62">
      <x:c r="A62" s="136"/>
      <x:c r="B62" s="136"/>
      <x:c r="C62" s="136"/>
      <x:c r="D62" s="136"/>
      <x:c r="E62" s="136"/>
      <x:c r="F62" s="136"/>
      <x:c r="G62" s="136"/>
      <x:c r="H62" s="136"/>
      <x:c r="I62" s="136"/>
      <x:c r="J62" s="136"/>
      <x:c r="K62" s="136"/>
      <x:c r="L62" s="136"/>
      <x:c r="M62" s="136"/>
      <x:c r="N62" s="136"/>
      <x:c r="O62" s="136"/>
      <x:c r="P62" s="136"/>
      <x:c r="Q62" s="136"/>
      <x:c r="R62" s="136"/>
      <x:c r="S62" s="136"/>
      <x:c r="T62" s="136"/>
      <x:c r="U62" s="136"/>
      <x:c r="V62" s="136"/>
      <x:c r="W62" s="136"/>
      <x:c r="X62" s="136"/>
      <x:c r="Y62" s="136"/>
      <x:c r="Z62" s="136"/>
    </x:row>
    <x:row r="63">
      <x:c r="A63" s="136"/>
      <x:c r="B63" s="136"/>
      <x:c r="C63" s="136"/>
      <x:c r="D63" s="136"/>
      <x:c r="E63" s="136"/>
      <x:c r="F63" s="136"/>
      <x:c r="G63" s="136"/>
      <x:c r="H63" s="136"/>
      <x:c r="I63" s="136"/>
      <x:c r="J63" s="136"/>
      <x:c r="K63" s="136"/>
      <x:c r="L63" s="136"/>
      <x:c r="M63" s="136"/>
      <x:c r="N63" s="136"/>
      <x:c r="O63" s="136"/>
      <x:c r="P63" s="136"/>
      <x:c r="Q63" s="136"/>
      <x:c r="R63" s="136"/>
      <x:c r="S63" s="136"/>
      <x:c r="T63" s="136"/>
      <x:c r="U63" s="136"/>
      <x:c r="V63" s="136"/>
      <x:c r="W63" s="136"/>
      <x:c r="X63" s="136"/>
      <x:c r="Y63" s="136"/>
      <x:c r="Z63" s="136"/>
    </x:row>
    <x:row r="64">
      <x:c r="A64" s="136"/>
      <x:c r="B64" s="136"/>
      <x:c r="C64" s="136"/>
      <x:c r="D64" s="136"/>
      <x:c r="E64" s="136"/>
      <x:c r="F64" s="136"/>
      <x:c r="G64" s="136"/>
      <x:c r="H64" s="136"/>
      <x:c r="I64" s="136"/>
      <x:c r="J64" s="136"/>
      <x:c r="K64" s="136"/>
      <x:c r="L64" s="136"/>
      <x:c r="M64" s="136"/>
      <x:c r="N64" s="136"/>
      <x:c r="O64" s="136"/>
      <x:c r="P64" s="136"/>
      <x:c r="Q64" s="136"/>
      <x:c r="R64" s="136"/>
      <x:c r="S64" s="136"/>
      <x:c r="T64" s="136"/>
      <x:c r="U64" s="136"/>
      <x:c r="V64" s="136"/>
      <x:c r="W64" s="136"/>
      <x:c r="X64" s="136"/>
      <x:c r="Y64" s="136"/>
      <x:c r="Z64" s="136"/>
    </x:row>
    <x:row r="65">
      <x:c r="A65" s="136"/>
      <x:c r="B65" s="136"/>
      <x:c r="C65" s="136"/>
      <x:c r="D65" s="136"/>
      <x:c r="E65" s="136"/>
      <x:c r="F65" s="136"/>
      <x:c r="G65" s="136"/>
      <x:c r="H65" s="136"/>
      <x:c r="I65" s="136"/>
      <x:c r="J65" s="136"/>
      <x:c r="K65" s="136"/>
      <x:c r="L65" s="136"/>
      <x:c r="M65" s="136"/>
      <x:c r="N65" s="136"/>
      <x:c r="O65" s="136"/>
      <x:c r="P65" s="136"/>
      <x:c r="Q65" s="136"/>
      <x:c r="R65" s="136"/>
      <x:c r="S65" s="136"/>
      <x:c r="T65" s="136"/>
      <x:c r="U65" s="136"/>
      <x:c r="V65" s="136"/>
      <x:c r="W65" s="136"/>
      <x:c r="X65" s="136"/>
      <x:c r="Y65" s="136"/>
      <x:c r="Z65" s="136"/>
    </x:row>
    <x:row r="66">
      <x:c r="A66" s="136"/>
      <x:c r="B66" s="136"/>
      <x:c r="C66" s="136"/>
      <x:c r="D66" s="136"/>
      <x:c r="E66" s="136"/>
      <x:c r="F66" s="136"/>
      <x:c r="G66" s="136"/>
      <x:c r="H66" s="136"/>
      <x:c r="I66" s="136"/>
      <x:c r="J66" s="136"/>
      <x:c r="K66" s="136"/>
      <x:c r="L66" s="136"/>
      <x:c r="M66" s="136"/>
      <x:c r="N66" s="136"/>
      <x:c r="O66" s="136"/>
      <x:c r="P66" s="136"/>
      <x:c r="Q66" s="136"/>
      <x:c r="R66" s="136"/>
      <x:c r="S66" s="136"/>
      <x:c r="T66" s="136"/>
      <x:c r="U66" s="136"/>
      <x:c r="V66" s="136"/>
      <x:c r="W66" s="136"/>
      <x:c r="X66" s="136"/>
      <x:c r="Y66" s="136"/>
      <x:c r="Z66" s="136"/>
    </x:row>
    <x:row r="67">
      <x:c r="A67" s="136"/>
      <x:c r="B67" s="136"/>
      <x:c r="C67" s="136"/>
      <x:c r="D67" s="136"/>
      <x:c r="E67" s="136"/>
      <x:c r="F67" s="136"/>
      <x:c r="G67" s="136"/>
      <x:c r="H67" s="136"/>
      <x:c r="I67" s="136"/>
      <x:c r="J67" s="136"/>
      <x:c r="K67" s="136"/>
      <x:c r="L67" s="136"/>
      <x:c r="M67" s="136"/>
      <x:c r="N67" s="136"/>
      <x:c r="O67" s="136"/>
      <x:c r="P67" s="136"/>
      <x:c r="Q67" s="136"/>
      <x:c r="R67" s="136"/>
      <x:c r="S67" s="136"/>
      <x:c r="T67" s="136"/>
      <x:c r="U67" s="136"/>
      <x:c r="V67" s="136"/>
      <x:c r="W67" s="136"/>
      <x:c r="X67" s="136"/>
      <x:c r="Y67" s="136"/>
      <x:c r="Z67" s="136"/>
    </x:row>
    <x:row r="68">
      <x:c r="A68" s="136"/>
      <x:c r="B68" s="136"/>
      <x:c r="C68" s="136"/>
      <x:c r="D68" s="136"/>
      <x:c r="E68" s="136"/>
      <x:c r="F68" s="136"/>
      <x:c r="G68" s="136"/>
      <x:c r="H68" s="136"/>
      <x:c r="I68" s="136"/>
      <x:c r="J68" s="136"/>
      <x:c r="K68" s="136"/>
      <x:c r="L68" s="136"/>
      <x:c r="M68" s="136"/>
      <x:c r="N68" s="136"/>
      <x:c r="O68" s="136"/>
      <x:c r="P68" s="136"/>
      <x:c r="Q68" s="136"/>
      <x:c r="R68" s="136"/>
      <x:c r="S68" s="136"/>
      <x:c r="T68" s="136"/>
      <x:c r="U68" s="136"/>
      <x:c r="V68" s="136"/>
      <x:c r="W68" s="136"/>
      <x:c r="X68" s="136"/>
      <x:c r="Y68" s="136"/>
      <x:c r="Z68" s="136"/>
    </x:row>
    <x:row r="69">
      <x:c r="A69" s="136"/>
      <x:c r="B69" s="136"/>
      <x:c r="C69" s="136"/>
      <x:c r="D69" s="136"/>
      <x:c r="E69" s="136"/>
      <x:c r="F69" s="136"/>
      <x:c r="G69" s="136"/>
      <x:c r="H69" s="136"/>
      <x:c r="I69" s="136"/>
      <x:c r="J69" s="136"/>
      <x:c r="K69" s="136"/>
      <x:c r="L69" s="136"/>
      <x:c r="M69" s="136"/>
      <x:c r="N69" s="136"/>
      <x:c r="O69" s="136"/>
      <x:c r="P69" s="136"/>
      <x:c r="Q69" s="136"/>
      <x:c r="R69" s="136"/>
      <x:c r="S69" s="136"/>
      <x:c r="T69" s="136"/>
      <x:c r="U69" s="136"/>
      <x:c r="V69" s="136"/>
      <x:c r="W69" s="136"/>
      <x:c r="X69" s="136"/>
      <x:c r="Y69" s="136"/>
      <x:c r="Z69" s="136"/>
    </x:row>
    <x:row r="70">
      <x:c r="A70" s="136"/>
      <x:c r="B70" s="136"/>
      <x:c r="C70" s="136"/>
      <x:c r="D70" s="136"/>
      <x:c r="E70" s="136"/>
      <x:c r="F70" s="136"/>
      <x:c r="G70" s="136"/>
      <x:c r="H70" s="136"/>
      <x:c r="I70" s="136"/>
      <x:c r="J70" s="136"/>
      <x:c r="K70" s="136"/>
      <x:c r="L70" s="136"/>
      <x:c r="M70" s="136"/>
      <x:c r="N70" s="136"/>
      <x:c r="O70" s="136"/>
      <x:c r="P70" s="136"/>
      <x:c r="Q70" s="136"/>
      <x:c r="R70" s="136"/>
      <x:c r="S70" s="136"/>
      <x:c r="T70" s="136"/>
      <x:c r="U70" s="136"/>
      <x:c r="V70" s="136"/>
      <x:c r="W70" s="136"/>
      <x:c r="X70" s="136"/>
      <x:c r="Y70" s="136"/>
      <x:c r="Z70" s="136"/>
    </x:row>
    <x:row r="71">
      <x:c r="A71" s="136"/>
      <x:c r="B71" s="136"/>
      <x:c r="C71" s="136"/>
      <x:c r="D71" s="136"/>
      <x:c r="E71" s="136"/>
      <x:c r="F71" s="136"/>
      <x:c r="G71" s="136"/>
      <x:c r="H71" s="136"/>
      <x:c r="I71" s="136"/>
      <x:c r="J71" s="136"/>
      <x:c r="K71" s="136"/>
      <x:c r="L71" s="136"/>
      <x:c r="M71" s="136"/>
      <x:c r="N71" s="136"/>
      <x:c r="O71" s="136"/>
      <x:c r="P71" s="136"/>
      <x:c r="Q71" s="136"/>
      <x:c r="R71" s="136"/>
      <x:c r="S71" s="136"/>
      <x:c r="T71" s="136"/>
      <x:c r="U71" s="136"/>
      <x:c r="V71" s="136"/>
      <x:c r="W71" s="136"/>
      <x:c r="X71" s="136"/>
      <x:c r="Y71" s="136"/>
      <x:c r="Z71" s="136"/>
    </x:row>
    <x:row r="72">
      <x:c r="A72" s="136"/>
      <x:c r="B72" s="136"/>
      <x:c r="C72" s="136"/>
      <x:c r="D72" s="136"/>
      <x:c r="E72" s="136"/>
      <x:c r="F72" s="136"/>
      <x:c r="G72" s="136"/>
      <x:c r="H72" s="136"/>
      <x:c r="I72" s="136"/>
      <x:c r="J72" s="136"/>
      <x:c r="K72" s="136"/>
      <x:c r="L72" s="136"/>
      <x:c r="M72" s="136"/>
      <x:c r="N72" s="136"/>
      <x:c r="O72" s="136"/>
      <x:c r="P72" s="136"/>
      <x:c r="Q72" s="136"/>
      <x:c r="R72" s="136"/>
      <x:c r="S72" s="136"/>
      <x:c r="T72" s="136"/>
      <x:c r="U72" s="136"/>
      <x:c r="V72" s="136"/>
      <x:c r="W72" s="136"/>
      <x:c r="X72" s="136"/>
      <x:c r="Y72" s="136"/>
      <x:c r="Z72" s="136"/>
    </x:row>
    <x:row r="73">
      <x:c r="A73" s="136"/>
      <x:c r="B73" s="136"/>
      <x:c r="C73" s="136"/>
      <x:c r="D73" s="136"/>
      <x:c r="E73" s="136"/>
      <x:c r="F73" s="136"/>
      <x:c r="G73" s="136"/>
      <x:c r="H73" s="136"/>
      <x:c r="I73" s="136"/>
      <x:c r="J73" s="136"/>
      <x:c r="K73" s="136"/>
      <x:c r="L73" s="136"/>
      <x:c r="M73" s="136"/>
      <x:c r="N73" s="136"/>
      <x:c r="O73" s="136"/>
      <x:c r="P73" s="136"/>
      <x:c r="Q73" s="136"/>
      <x:c r="R73" s="136"/>
      <x:c r="S73" s="136"/>
      <x:c r="T73" s="136"/>
      <x:c r="U73" s="136"/>
      <x:c r="V73" s="136"/>
      <x:c r="W73" s="136"/>
      <x:c r="X73" s="136"/>
      <x:c r="Y73" s="136"/>
      <x:c r="Z73" s="136"/>
    </x:row>
    <x:row r="74">
      <x:c r="A74" s="136"/>
      <x:c r="B74" s="136"/>
      <x:c r="C74" s="136"/>
      <x:c r="D74" s="136"/>
      <x:c r="E74" s="136"/>
      <x:c r="F74" s="136"/>
      <x:c r="G74" s="136"/>
      <x:c r="H74" s="136"/>
      <x:c r="I74" s="136"/>
      <x:c r="J74" s="136"/>
      <x:c r="K74" s="136"/>
      <x:c r="L74" s="136"/>
      <x:c r="M74" s="136"/>
      <x:c r="N74" s="136"/>
      <x:c r="O74" s="136"/>
      <x:c r="P74" s="136"/>
      <x:c r="Q74" s="136"/>
      <x:c r="R74" s="136"/>
      <x:c r="S74" s="136"/>
      <x:c r="T74" s="136"/>
      <x:c r="U74" s="136"/>
      <x:c r="V74" s="136"/>
      <x:c r="W74" s="136"/>
      <x:c r="X74" s="136"/>
      <x:c r="Y74" s="136"/>
      <x:c r="Z74" s="136"/>
    </x:row>
    <x:row r="75">
      <x:c r="A75" s="136"/>
      <x:c r="B75" s="136"/>
      <x:c r="C75" s="136"/>
      <x:c r="D75" s="136"/>
      <x:c r="E75" s="136"/>
      <x:c r="F75" s="136"/>
      <x:c r="G75" s="136"/>
      <x:c r="H75" s="136"/>
      <x:c r="I75" s="136"/>
      <x:c r="J75" s="136"/>
      <x:c r="K75" s="136"/>
      <x:c r="L75" s="136"/>
      <x:c r="M75" s="136"/>
      <x:c r="N75" s="136"/>
      <x:c r="O75" s="136"/>
      <x:c r="P75" s="136"/>
      <x:c r="Q75" s="136"/>
      <x:c r="R75" s="136"/>
      <x:c r="S75" s="136"/>
      <x:c r="T75" s="136"/>
      <x:c r="U75" s="136"/>
      <x:c r="V75" s="136"/>
      <x:c r="W75" s="136"/>
      <x:c r="X75" s="136"/>
      <x:c r="Y75" s="136"/>
      <x:c r="Z75" s="136"/>
    </x:row>
    <x:row r="76">
      <x:c r="A76" s="136"/>
      <x:c r="B76" s="136"/>
      <x:c r="C76" s="136"/>
      <x:c r="D76" s="136"/>
      <x:c r="E76" s="136"/>
      <x:c r="F76" s="136"/>
      <x:c r="G76" s="136"/>
      <x:c r="H76" s="136"/>
      <x:c r="I76" s="136"/>
      <x:c r="J76" s="136"/>
      <x:c r="K76" s="136"/>
      <x:c r="L76" s="136"/>
      <x:c r="M76" s="136"/>
      <x:c r="N76" s="136"/>
      <x:c r="O76" s="136"/>
      <x:c r="P76" s="136"/>
      <x:c r="Q76" s="136"/>
      <x:c r="R76" s="136"/>
      <x:c r="S76" s="136"/>
      <x:c r="T76" s="136"/>
      <x:c r="U76" s="136"/>
      <x:c r="V76" s="136"/>
      <x:c r="W76" s="136"/>
      <x:c r="X76" s="136"/>
      <x:c r="Y76" s="136"/>
      <x:c r="Z76" s="136"/>
    </x:row>
    <x:row r="77">
      <x:c r="A77" s="136"/>
      <x:c r="B77" s="136"/>
      <x:c r="C77" s="136"/>
      <x:c r="D77" s="136"/>
      <x:c r="E77" s="136"/>
      <x:c r="F77" s="136"/>
      <x:c r="G77" s="136"/>
      <x:c r="H77" s="136"/>
      <x:c r="I77" s="136"/>
      <x:c r="J77" s="136"/>
      <x:c r="K77" s="136"/>
      <x:c r="L77" s="136"/>
      <x:c r="M77" s="136"/>
      <x:c r="N77" s="136"/>
      <x:c r="O77" s="136"/>
      <x:c r="P77" s="136"/>
      <x:c r="Q77" s="136"/>
      <x:c r="R77" s="136"/>
      <x:c r="S77" s="136"/>
      <x:c r="T77" s="136"/>
      <x:c r="U77" s="136"/>
      <x:c r="V77" s="136"/>
      <x:c r="W77" s="136"/>
      <x:c r="X77" s="136"/>
      <x:c r="Y77" s="136"/>
      <x:c r="Z77" s="136"/>
    </x:row>
    <x:row r="78">
      <x:c r="A78" s="136"/>
      <x:c r="B78" s="136"/>
      <x:c r="C78" s="136"/>
      <x:c r="D78" s="136"/>
      <x:c r="E78" s="136"/>
      <x:c r="F78" s="136"/>
      <x:c r="G78" s="136"/>
      <x:c r="H78" s="136"/>
      <x:c r="I78" s="136"/>
      <x:c r="J78" s="136"/>
      <x:c r="K78" s="136"/>
      <x:c r="L78" s="136"/>
      <x:c r="M78" s="136"/>
      <x:c r="N78" s="136"/>
      <x:c r="O78" s="136"/>
      <x:c r="P78" s="136"/>
      <x:c r="Q78" s="136"/>
      <x:c r="R78" s="136"/>
      <x:c r="S78" s="136"/>
      <x:c r="T78" s="136"/>
      <x:c r="U78" s="136"/>
      <x:c r="V78" s="136"/>
      <x:c r="W78" s="136"/>
      <x:c r="X78" s="136"/>
      <x:c r="Y78" s="136"/>
      <x:c r="Z78" s="136"/>
    </x:row>
    <x:row r="79">
      <x:c r="A79" s="136"/>
      <x:c r="B79" s="136"/>
      <x:c r="C79" s="136"/>
      <x:c r="D79" s="136"/>
      <x:c r="E79" s="136"/>
      <x:c r="F79" s="136"/>
      <x:c r="G79" s="136"/>
      <x:c r="H79" s="136"/>
      <x:c r="I79" s="136"/>
      <x:c r="J79" s="136"/>
      <x:c r="K79" s="136"/>
      <x:c r="L79" s="136"/>
      <x:c r="M79" s="136"/>
      <x:c r="N79" s="136"/>
      <x:c r="O79" s="136"/>
      <x:c r="P79" s="136"/>
      <x:c r="Q79" s="136"/>
      <x:c r="R79" s="136"/>
      <x:c r="S79" s="136"/>
      <x:c r="T79" s="136"/>
      <x:c r="U79" s="136"/>
      <x:c r="V79" s="136"/>
      <x:c r="W79" s="136"/>
      <x:c r="X79" s="136"/>
      <x:c r="Y79" s="136"/>
      <x:c r="Z79" s="136"/>
    </x:row>
    <x:row r="80">
      <x:c r="A80" s="136"/>
      <x:c r="B80" s="136"/>
      <x:c r="C80" s="136"/>
      <x:c r="D80" s="136"/>
      <x:c r="E80" s="136"/>
      <x:c r="F80" s="136"/>
      <x:c r="G80" s="136"/>
      <x:c r="H80" s="136"/>
      <x:c r="I80" s="136"/>
      <x:c r="J80" s="136"/>
      <x:c r="K80" s="136"/>
      <x:c r="L80" s="136"/>
      <x:c r="M80" s="136"/>
      <x:c r="N80" s="136"/>
      <x:c r="O80" s="136"/>
      <x:c r="P80" s="136"/>
      <x:c r="Q80" s="136"/>
      <x:c r="R80" s="136"/>
      <x:c r="S80" s="136"/>
      <x:c r="T80" s="136"/>
      <x:c r="U80" s="136"/>
      <x:c r="V80" s="136"/>
      <x:c r="W80" s="136"/>
      <x:c r="X80" s="136"/>
      <x:c r="Y80" s="136"/>
      <x:c r="Z80" s="136"/>
    </x:row>
    <x:row r="81">
      <x:c r="A81" s="136"/>
      <x:c r="B81" s="136"/>
      <x:c r="C81" s="136"/>
      <x:c r="D81" s="136"/>
      <x:c r="E81" s="136"/>
      <x:c r="F81" s="136"/>
      <x:c r="G81" s="136"/>
      <x:c r="H81" s="136"/>
      <x:c r="I81" s="136"/>
      <x:c r="J81" s="136"/>
      <x:c r="K81" s="136"/>
      <x:c r="L81" s="136"/>
      <x:c r="M81" s="136"/>
      <x:c r="N81" s="136"/>
      <x:c r="O81" s="136"/>
      <x:c r="P81" s="136"/>
      <x:c r="Q81" s="136"/>
      <x:c r="R81" s="136"/>
      <x:c r="S81" s="136"/>
      <x:c r="T81" s="136"/>
      <x:c r="U81" s="136"/>
      <x:c r="V81" s="136"/>
      <x:c r="W81" s="136"/>
      <x:c r="X81" s="136"/>
      <x:c r="Y81" s="136"/>
      <x:c r="Z81" s="136"/>
    </x:row>
    <x:row r="82">
      <x:c r="A82" s="136"/>
      <x:c r="B82" s="136"/>
      <x:c r="C82" s="136"/>
      <x:c r="D82" s="136"/>
      <x:c r="E82" s="136"/>
      <x:c r="F82" s="136"/>
      <x:c r="G82" s="136"/>
      <x:c r="H82" s="136"/>
      <x:c r="I82" s="136"/>
      <x:c r="J82" s="136"/>
      <x:c r="K82" s="136"/>
      <x:c r="L82" s="136"/>
      <x:c r="M82" s="136"/>
      <x:c r="N82" s="136"/>
      <x:c r="O82" s="136"/>
      <x:c r="P82" s="136"/>
      <x:c r="Q82" s="136"/>
      <x:c r="R82" s="136"/>
      <x:c r="S82" s="136"/>
      <x:c r="T82" s="136"/>
      <x:c r="U82" s="136"/>
      <x:c r="V82" s="136"/>
      <x:c r="W82" s="136"/>
      <x:c r="X82" s="136"/>
      <x:c r="Y82" s="136"/>
      <x:c r="Z82" s="136"/>
    </x:row>
    <x:row r="83">
      <x:c r="A83" s="136"/>
      <x:c r="B83" s="136"/>
      <x:c r="C83" s="136"/>
      <x:c r="D83" s="136"/>
      <x:c r="E83" s="136"/>
      <x:c r="F83" s="136"/>
      <x:c r="G83" s="136"/>
      <x:c r="H83" s="136"/>
      <x:c r="I83" s="136"/>
      <x:c r="J83" s="136"/>
      <x:c r="K83" s="136"/>
      <x:c r="L83" s="136"/>
      <x:c r="M83" s="136"/>
      <x:c r="N83" s="136"/>
      <x:c r="O83" s="136"/>
      <x:c r="P83" s="136"/>
      <x:c r="Q83" s="136"/>
      <x:c r="R83" s="136"/>
      <x:c r="S83" s="136"/>
      <x:c r="T83" s="136"/>
      <x:c r="U83" s="136"/>
      <x:c r="V83" s="136"/>
      <x:c r="W83" s="136"/>
      <x:c r="X83" s="136"/>
      <x:c r="Y83" s="136"/>
      <x:c r="Z83" s="136"/>
    </x:row>
    <x:row r="84">
      <x:c r="A84" s="136"/>
      <x:c r="B84" s="136"/>
      <x:c r="C84" s="136"/>
      <x:c r="D84" s="136"/>
      <x:c r="E84" s="136"/>
      <x:c r="F84" s="136"/>
      <x:c r="G84" s="136"/>
      <x:c r="H84" s="136"/>
      <x:c r="I84" s="136"/>
      <x:c r="J84" s="136"/>
      <x:c r="K84" s="136"/>
      <x:c r="L84" s="136"/>
      <x:c r="M84" s="136"/>
      <x:c r="N84" s="136"/>
      <x:c r="O84" s="136"/>
      <x:c r="P84" s="136"/>
      <x:c r="Q84" s="136"/>
      <x:c r="R84" s="136"/>
      <x:c r="S84" s="136"/>
      <x:c r="T84" s="136"/>
      <x:c r="U84" s="136"/>
      <x:c r="V84" s="136"/>
      <x:c r="W84" s="136"/>
      <x:c r="X84" s="136"/>
      <x:c r="Y84" s="136"/>
      <x:c r="Z84" s="136"/>
    </x:row>
    <x:row r="85">
      <x:c r="A85" s="136"/>
      <x:c r="B85" s="136"/>
      <x:c r="C85" s="136"/>
      <x:c r="D85" s="136"/>
      <x:c r="E85" s="136"/>
      <x:c r="F85" s="136"/>
      <x:c r="G85" s="136"/>
      <x:c r="H85" s="136"/>
      <x:c r="I85" s="136"/>
      <x:c r="J85" s="136"/>
      <x:c r="K85" s="136"/>
      <x:c r="L85" s="136"/>
      <x:c r="M85" s="136"/>
      <x:c r="N85" s="136"/>
      <x:c r="O85" s="136"/>
      <x:c r="P85" s="136"/>
      <x:c r="Q85" s="136"/>
      <x:c r="R85" s="136"/>
      <x:c r="S85" s="136"/>
      <x:c r="T85" s="136"/>
      <x:c r="U85" s="136"/>
      <x:c r="V85" s="136"/>
      <x:c r="W85" s="136"/>
      <x:c r="X85" s="136"/>
      <x:c r="Y85" s="136"/>
      <x:c r="Z85" s="136"/>
    </x:row>
    <x:row r="86">
      <x:c r="A86" s="136"/>
      <x:c r="B86" s="136"/>
      <x:c r="C86" s="136"/>
      <x:c r="D86" s="136"/>
      <x:c r="E86" s="136"/>
      <x:c r="F86" s="136"/>
      <x:c r="G86" s="136"/>
      <x:c r="H86" s="136"/>
      <x:c r="I86" s="136"/>
      <x:c r="J86" s="136"/>
      <x:c r="K86" s="136"/>
      <x:c r="L86" s="136"/>
      <x:c r="M86" s="136"/>
      <x:c r="N86" s="136"/>
      <x:c r="O86" s="136"/>
      <x:c r="P86" s="136"/>
      <x:c r="Q86" s="136"/>
      <x:c r="R86" s="136"/>
      <x:c r="S86" s="136"/>
      <x:c r="T86" s="136"/>
      <x:c r="U86" s="136"/>
      <x:c r="V86" s="136"/>
      <x:c r="W86" s="136"/>
      <x:c r="X86" s="136"/>
      <x:c r="Y86" s="136"/>
      <x:c r="Z86" s="136"/>
    </x:row>
    <x:row r="87">
      <x:c r="A87" s="136"/>
      <x:c r="B87" s="136"/>
      <x:c r="C87" s="136"/>
      <x:c r="D87" s="136"/>
      <x:c r="E87" s="136"/>
      <x:c r="F87" s="136"/>
      <x:c r="G87" s="136"/>
      <x:c r="H87" s="136"/>
      <x:c r="I87" s="136"/>
      <x:c r="J87" s="136"/>
      <x:c r="K87" s="136"/>
      <x:c r="L87" s="136"/>
      <x:c r="M87" s="136"/>
      <x:c r="N87" s="136"/>
      <x:c r="O87" s="136"/>
      <x:c r="P87" s="136"/>
      <x:c r="Q87" s="136"/>
      <x:c r="R87" s="136"/>
      <x:c r="S87" s="136"/>
      <x:c r="T87" s="136"/>
      <x:c r="U87" s="136"/>
      <x:c r="V87" s="136"/>
      <x:c r="W87" s="136"/>
      <x:c r="X87" s="136"/>
      <x:c r="Y87" s="136"/>
      <x:c r="Z87" s="136"/>
    </x:row>
    <x:row r="88">
      <x:c r="A88" s="136"/>
      <x:c r="B88" s="136"/>
      <x:c r="C88" s="136"/>
      <x:c r="D88" s="136"/>
      <x:c r="E88" s="136"/>
      <x:c r="F88" s="136"/>
      <x:c r="G88" s="136"/>
      <x:c r="H88" s="136"/>
      <x:c r="I88" s="136"/>
      <x:c r="J88" s="136"/>
      <x:c r="K88" s="136"/>
      <x:c r="L88" s="136"/>
      <x:c r="M88" s="136"/>
      <x:c r="N88" s="136"/>
      <x:c r="O88" s="136"/>
      <x:c r="P88" s="136"/>
      <x:c r="Q88" s="136"/>
      <x:c r="R88" s="136"/>
      <x:c r="S88" s="136"/>
      <x:c r="T88" s="136"/>
      <x:c r="U88" s="136"/>
      <x:c r="V88" s="136"/>
      <x:c r="W88" s="136"/>
      <x:c r="X88" s="136"/>
      <x:c r="Y88" s="136"/>
      <x:c r="Z88" s="136"/>
    </x:row>
    <x:row r="89">
      <x:c r="A89" s="136"/>
      <x:c r="B89" s="136"/>
      <x:c r="C89" s="136"/>
      <x:c r="D89" s="136"/>
      <x:c r="E89" s="136"/>
      <x:c r="F89" s="136"/>
      <x:c r="G89" s="136"/>
      <x:c r="H89" s="136"/>
      <x:c r="I89" s="136"/>
      <x:c r="J89" s="136"/>
      <x:c r="K89" s="136"/>
      <x:c r="L89" s="136"/>
      <x:c r="M89" s="136"/>
      <x:c r="N89" s="136"/>
      <x:c r="O89" s="136"/>
      <x:c r="P89" s="136"/>
      <x:c r="Q89" s="136"/>
      <x:c r="R89" s="136"/>
      <x:c r="S89" s="136"/>
      <x:c r="T89" s="136"/>
      <x:c r="U89" s="136"/>
      <x:c r="V89" s="136"/>
      <x:c r="W89" s="136"/>
      <x:c r="X89" s="136"/>
      <x:c r="Y89" s="136"/>
      <x:c r="Z89" s="136"/>
    </x:row>
    <x:row r="90">
      <x:c r="A90" s="136"/>
      <x:c r="B90" s="136"/>
      <x:c r="C90" s="136"/>
      <x:c r="D90" s="136"/>
      <x:c r="E90" s="136"/>
      <x:c r="F90" s="136"/>
      <x:c r="G90" s="136"/>
      <x:c r="H90" s="136"/>
      <x:c r="I90" s="136"/>
      <x:c r="J90" s="136"/>
      <x:c r="K90" s="136"/>
      <x:c r="L90" s="136"/>
      <x:c r="M90" s="136"/>
      <x:c r="N90" s="136"/>
      <x:c r="O90" s="136"/>
      <x:c r="P90" s="136"/>
      <x:c r="Q90" s="136"/>
      <x:c r="R90" s="136"/>
      <x:c r="S90" s="136"/>
      <x:c r="T90" s="136"/>
      <x:c r="U90" s="136"/>
      <x:c r="V90" s="136"/>
      <x:c r="W90" s="136"/>
      <x:c r="X90" s="136"/>
      <x:c r="Y90" s="136"/>
      <x:c r="Z90" s="136"/>
    </x:row>
    <x:row r="91">
      <x:c r="A91" s="136"/>
      <x:c r="B91" s="136"/>
      <x:c r="C91" s="136"/>
      <x:c r="D91" s="136"/>
      <x:c r="E91" s="136"/>
      <x:c r="F91" s="136"/>
      <x:c r="G91" s="136"/>
      <x:c r="H91" s="136"/>
      <x:c r="I91" s="136"/>
      <x:c r="J91" s="136"/>
      <x:c r="K91" s="136"/>
      <x:c r="L91" s="136"/>
      <x:c r="M91" s="136"/>
      <x:c r="N91" s="136"/>
      <x:c r="O91" s="136"/>
      <x:c r="P91" s="136"/>
      <x:c r="Q91" s="136"/>
      <x:c r="R91" s="136"/>
      <x:c r="S91" s="136"/>
      <x:c r="T91" s="136"/>
      <x:c r="U91" s="136"/>
      <x:c r="V91" s="136"/>
      <x:c r="W91" s="136"/>
      <x:c r="X91" s="136"/>
      <x:c r="Y91" s="136"/>
      <x:c r="Z91" s="136"/>
    </x:row>
    <x:row r="92">
      <x:c r="A92" s="136"/>
      <x:c r="B92" s="136"/>
      <x:c r="C92" s="136"/>
      <x:c r="D92" s="136"/>
      <x:c r="E92" s="136"/>
      <x:c r="F92" s="136"/>
      <x:c r="G92" s="136"/>
      <x:c r="H92" s="136"/>
      <x:c r="I92" s="136"/>
      <x:c r="J92" s="136"/>
      <x:c r="K92" s="136"/>
      <x:c r="L92" s="136"/>
      <x:c r="M92" s="136"/>
      <x:c r="N92" s="136"/>
      <x:c r="O92" s="136"/>
      <x:c r="P92" s="136"/>
      <x:c r="Q92" s="136"/>
      <x:c r="R92" s="136"/>
      <x:c r="S92" s="136"/>
      <x:c r="T92" s="136"/>
      <x:c r="U92" s="136"/>
      <x:c r="V92" s="136"/>
      <x:c r="W92" s="136"/>
      <x:c r="X92" s="136"/>
      <x:c r="Y92" s="136"/>
      <x:c r="Z92" s="136"/>
    </x:row>
    <x:row r="93">
      <x:c r="A93" s="136"/>
      <x:c r="B93" s="136"/>
      <x:c r="C93" s="136"/>
      <x:c r="D93" s="136"/>
      <x:c r="E93" s="136"/>
      <x:c r="F93" s="136"/>
      <x:c r="G93" s="136"/>
      <x:c r="H93" s="136"/>
      <x:c r="I93" s="136"/>
      <x:c r="J93" s="136"/>
      <x:c r="K93" s="136"/>
      <x:c r="L93" s="136"/>
      <x:c r="M93" s="136"/>
      <x:c r="N93" s="136"/>
      <x:c r="O93" s="136"/>
      <x:c r="P93" s="136"/>
      <x:c r="Q93" s="136"/>
      <x:c r="R93" s="136"/>
      <x:c r="S93" s="136"/>
      <x:c r="T93" s="136"/>
      <x:c r="U93" s="136"/>
      <x:c r="V93" s="136"/>
      <x:c r="W93" s="136"/>
      <x:c r="X93" s="136"/>
      <x:c r="Y93" s="136"/>
      <x:c r="Z93" s="136"/>
    </x:row>
    <x:row r="94">
      <x:c r="A94" s="136"/>
      <x:c r="B94" s="136"/>
      <x:c r="C94" s="136"/>
      <x:c r="D94" s="136"/>
      <x:c r="E94" s="136"/>
      <x:c r="F94" s="136"/>
      <x:c r="G94" s="136"/>
      <x:c r="H94" s="136"/>
      <x:c r="I94" s="136"/>
      <x:c r="J94" s="136"/>
      <x:c r="K94" s="136"/>
      <x:c r="L94" s="136"/>
      <x:c r="M94" s="136"/>
      <x:c r="N94" s="136"/>
      <x:c r="O94" s="136"/>
      <x:c r="P94" s="136"/>
      <x:c r="Q94" s="136"/>
      <x:c r="R94" s="136"/>
      <x:c r="S94" s="136"/>
      <x:c r="T94" s="136"/>
      <x:c r="U94" s="136"/>
      <x:c r="V94" s="136"/>
      <x:c r="W94" s="136"/>
      <x:c r="X94" s="136"/>
      <x:c r="Y94" s="136"/>
      <x:c r="Z94" s="136"/>
    </x:row>
    <x:row r="95">
      <x:c r="A95" s="136"/>
      <x:c r="B95" s="136"/>
      <x:c r="C95" s="136"/>
      <x:c r="D95" s="136"/>
      <x:c r="E95" s="136"/>
      <x:c r="F95" s="136"/>
      <x:c r="G95" s="136"/>
      <x:c r="H95" s="136"/>
      <x:c r="I95" s="136"/>
      <x:c r="J95" s="136"/>
      <x:c r="K95" s="136"/>
      <x:c r="L95" s="136"/>
      <x:c r="M95" s="136"/>
      <x:c r="N95" s="136"/>
      <x:c r="O95" s="136"/>
      <x:c r="P95" s="136"/>
      <x:c r="Q95" s="136"/>
      <x:c r="R95" s="136"/>
      <x:c r="S95" s="136"/>
      <x:c r="T95" s="136"/>
      <x:c r="U95" s="136"/>
      <x:c r="V95" s="136"/>
      <x:c r="W95" s="136"/>
      <x:c r="X95" s="136"/>
      <x:c r="Y95" s="136"/>
      <x:c r="Z95" s="136"/>
    </x:row>
    <x:row r="96">
      <x:c r="A96" s="136"/>
      <x:c r="B96" s="136"/>
      <x:c r="C96" s="136"/>
      <x:c r="D96" s="136"/>
      <x:c r="E96" s="136"/>
      <x:c r="F96" s="136"/>
      <x:c r="G96" s="136"/>
      <x:c r="H96" s="136"/>
      <x:c r="I96" s="136"/>
      <x:c r="J96" s="136"/>
      <x:c r="K96" s="136"/>
      <x:c r="L96" s="136"/>
      <x:c r="M96" s="136"/>
      <x:c r="N96" s="136"/>
      <x:c r="O96" s="136"/>
      <x:c r="P96" s="136"/>
      <x:c r="Q96" s="136"/>
      <x:c r="R96" s="136"/>
      <x:c r="S96" s="136"/>
      <x:c r="T96" s="136"/>
      <x:c r="U96" s="136"/>
      <x:c r="V96" s="136"/>
      <x:c r="W96" s="136"/>
      <x:c r="X96" s="136"/>
      <x:c r="Y96" s="136"/>
      <x:c r="Z96" s="136"/>
    </x:row>
    <x:row r="97">
      <x:c r="A97" s="136"/>
      <x:c r="B97" s="136"/>
      <x:c r="C97" s="136"/>
      <x:c r="D97" s="136"/>
      <x:c r="E97" s="136"/>
      <x:c r="F97" s="136"/>
      <x:c r="G97" s="136"/>
      <x:c r="H97" s="136"/>
      <x:c r="I97" s="136"/>
      <x:c r="J97" s="136"/>
      <x:c r="K97" s="136"/>
      <x:c r="L97" s="136"/>
      <x:c r="M97" s="136"/>
      <x:c r="N97" s="136"/>
      <x:c r="O97" s="136"/>
      <x:c r="P97" s="136"/>
      <x:c r="Q97" s="136"/>
      <x:c r="R97" s="136"/>
      <x:c r="S97" s="136"/>
      <x:c r="T97" s="136"/>
      <x:c r="U97" s="136"/>
      <x:c r="V97" s="136"/>
      <x:c r="W97" s="136"/>
      <x:c r="X97" s="136"/>
      <x:c r="Y97" s="136"/>
      <x:c r="Z97" s="136"/>
    </x:row>
    <x:row r="98">
      <x:c r="A98" s="136"/>
      <x:c r="B98" s="136"/>
      <x:c r="C98" s="136"/>
      <x:c r="D98" s="136"/>
      <x:c r="E98" s="136"/>
      <x:c r="F98" s="136"/>
      <x:c r="G98" s="136"/>
      <x:c r="H98" s="136"/>
      <x:c r="I98" s="136"/>
      <x:c r="J98" s="136"/>
      <x:c r="K98" s="136"/>
      <x:c r="L98" s="136"/>
      <x:c r="M98" s="136"/>
      <x:c r="N98" s="136"/>
      <x:c r="O98" s="136"/>
      <x:c r="P98" s="136"/>
      <x:c r="Q98" s="136"/>
      <x:c r="R98" s="136"/>
      <x:c r="S98" s="136"/>
      <x:c r="T98" s="136"/>
      <x:c r="U98" s="136"/>
      <x:c r="V98" s="136"/>
      <x:c r="W98" s="136"/>
      <x:c r="X98" s="136"/>
      <x:c r="Y98" s="136"/>
      <x:c r="Z98" s="136"/>
    </x:row>
    <x:row r="99">
      <x:c r="A99" s="136"/>
      <x:c r="B99" s="136"/>
      <x:c r="C99" s="136"/>
      <x:c r="D99" s="136"/>
      <x:c r="E99" s="136"/>
      <x:c r="F99" s="136"/>
      <x:c r="G99" s="136"/>
      <x:c r="H99" s="136"/>
      <x:c r="I99" s="136"/>
      <x:c r="J99" s="136"/>
      <x:c r="K99" s="136"/>
      <x:c r="L99" s="136"/>
      <x:c r="M99" s="136"/>
      <x:c r="N99" s="136"/>
      <x:c r="O99" s="136"/>
      <x:c r="P99" s="136"/>
      <x:c r="Q99" s="136"/>
      <x:c r="R99" s="136"/>
      <x:c r="S99" s="136"/>
      <x:c r="T99" s="136"/>
      <x:c r="U99" s="136"/>
      <x:c r="V99" s="136"/>
      <x:c r="W99" s="136"/>
      <x:c r="X99" s="136"/>
      <x:c r="Y99" s="136"/>
      <x:c r="Z99" s="136"/>
    </x:row>
    <x:row r="100">
      <x:c r="A100" s="136"/>
      <x:c r="B100" s="136"/>
      <x:c r="C100" s="136"/>
      <x:c r="D100" s="136"/>
      <x:c r="E100" s="136"/>
      <x:c r="F100" s="136"/>
      <x:c r="G100" s="136"/>
      <x:c r="H100" s="136"/>
      <x:c r="I100" s="136"/>
      <x:c r="J100" s="136"/>
      <x:c r="K100" s="136"/>
      <x:c r="L100" s="136"/>
      <x:c r="M100" s="136"/>
      <x:c r="N100" s="136"/>
      <x:c r="O100" s="136"/>
      <x:c r="P100" s="136"/>
      <x:c r="Q100" s="136"/>
      <x:c r="R100" s="136"/>
      <x:c r="S100" s="136"/>
      <x:c r="T100" s="136"/>
      <x:c r="U100" s="136"/>
      <x:c r="V100" s="136"/>
      <x:c r="W100" s="136"/>
      <x:c r="X100" s="136"/>
      <x:c r="Y100" s="136"/>
      <x:c r="Z100" s="136"/>
    </x:row>
  </x:sheetData>
  <x:mergeCells>
    <x:mergeCell ref="A1:I1"/>
    <x:mergeCell ref="A8:I8"/>
    <x:mergeCell ref="A9:I1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48" hidden="0" customWidth="1"/>
    <x:col min="4" max="4" width="54" hidden="0" customWidth="1"/>
    <x:col min="5" max="5" width="22" hidden="0" customWidth="1"/>
  </x:cols>
  <x:sheetData>
    <x:row r="1" ht="26" customHeight="1">
      <x:c r="A1" s="182" t="str">
        <x:v>Data Sources, Evidence Rules &amp; Update Procedure</x:v>
      </x:c>
      <x:c r="B1" s="182"/>
      <x:c r="C1" s="182"/>
      <x:c r="D1" s="182"/>
      <x:c r="E1" s="182"/>
      <x:c r="F1" s="112"/>
      <x:c r="G1" s="112"/>
      <x:c r="H1" s="112"/>
      <x:c r="I1" s="112"/>
      <x:c r="J1" s="112"/>
      <x:c r="K1" s="112"/>
      <x:c r="L1" s="112"/>
      <x:c r="M1" s="112"/>
      <x:c r="N1" s="112"/>
      <x:c r="O1" s="112"/>
      <x:c r="P1" s="112"/>
      <x:c r="Q1" s="112"/>
      <x:c r="R1" s="112"/>
      <x:c r="S1" s="112"/>
      <x:c r="T1" s="112"/>
      <x:c r="U1" s="112"/>
      <x:c r="V1" s="112"/>
      <x:c r="W1" s="112"/>
      <x:c r="X1" s="112"/>
      <x:c r="Y1" s="112"/>
      <x:c r="Z1" s="112"/>
    </x:row>
    <x:row r="2">
      <x:c r="A2" s="12" t="str">
        <x:v>Priority</x:v>
      </x:c>
      <x:c r="B2" s="12" t="str">
        <x:v>Source</x:v>
      </x:c>
      <x:c r="C2" s="12" t="str">
        <x:v>Use</x:v>
      </x:c>
      <x:c r="D2" s="12" t="str">
        <x:v>URL</x:v>
      </x:c>
      <x:c r="E2" s="12" t="str">
        <x:v>Update Cadence</x:v>
      </x:c>
      <x:c r="F2" s="136"/>
      <x:c r="G2" s="136"/>
      <x:c r="H2" s="136"/>
      <x:c r="I2" s="136"/>
      <x:c r="J2" s="136"/>
      <x:c r="K2" s="136"/>
      <x:c r="L2" s="136"/>
      <x:c r="M2" s="136"/>
      <x:c r="N2" s="136"/>
      <x:c r="O2" s="136"/>
      <x:c r="P2" s="136"/>
      <x:c r="Q2" s="136"/>
      <x:c r="R2" s="136"/>
      <x:c r="S2" s="136"/>
      <x:c r="T2" s="136"/>
      <x:c r="U2" s="136"/>
      <x:c r="V2" s="136"/>
      <x:c r="W2" s="136"/>
      <x:c r="X2" s="136"/>
      <x:c r="Y2" s="136"/>
      <x:c r="Z2" s="136"/>
    </x:row>
    <x:row r="3">
      <x:c r="A3" s="116" t="n">
        <x:v>1</x:v>
      </x:c>
      <x:c r="B3" s="116" t="str">
        <x:v>CODEBA — Porto de Aratu vessel schedule</x:v>
      </x:c>
      <x:c r="C3" s="116" t="str">
        <x:v>Current/forward vessel, cargo, quantity, operator, ETA/ETB/ETD</x:v>
      </x:c>
      <x:c r="D3" s="171" t="str">
        <x:v>https://codeba.gov.br/eficiente/sites/portalcodeba/pt-br/porto_aratu.php?secao=tportos_aratu</x:v>
      </x:c>
      <x:c r="E3" s="116" t="str">
        <x:v>Daily / near real time</x:v>
      </x:c>
      <x:c r="F3" s="136"/>
      <x:c r="G3" s="136"/>
      <x:c r="H3" s="136"/>
      <x:c r="I3" s="136"/>
      <x:c r="J3" s="136"/>
      <x:c r="K3" s="136"/>
      <x:c r="L3" s="136"/>
      <x:c r="M3" s="136"/>
      <x:c r="N3" s="136"/>
      <x:c r="O3" s="136"/>
      <x:c r="P3" s="136"/>
      <x:c r="Q3" s="136"/>
      <x:c r="R3" s="136"/>
      <x:c r="S3" s="136"/>
      <x:c r="T3" s="136"/>
      <x:c r="U3" s="136"/>
      <x:c r="V3" s="136"/>
      <x:c r="W3" s="136"/>
      <x:c r="X3" s="136"/>
      <x:c r="Y3" s="136"/>
      <x:c r="Z3" s="136"/>
    </x:row>
    <x:row r="4">
      <x:c r="A4" s="116" t="n">
        <x:v>2</x:v>
      </x:c>
      <x:c r="B4" s="116" t="str">
        <x:v>Braskem — ANP Res. 881 terminal disclosure</x:v>
      </x:c>
      <x:c r="C4" s="116" t="str">
        <x:v>Triunfo/Santa Clara, Rio Grande and Rio terminal historical movements / vessel schedules</x:v>
      </x:c>
      <x:c r="D4" s="171" t="str">
        <x:v>https://www.braskem.com.br/resolucao-anp-881</x:v>
      </x:c>
      <x:c r="E4" s="116" t="str">
        <x:v>Monthly / terminal-specific</x:v>
      </x:c>
      <x:c r="F4" s="136"/>
      <x:c r="G4" s="136"/>
      <x:c r="H4" s="136"/>
      <x:c r="I4" s="136"/>
      <x:c r="J4" s="136"/>
      <x:c r="K4" s="136"/>
      <x:c r="L4" s="136"/>
      <x:c r="M4" s="136"/>
      <x:c r="N4" s="136"/>
      <x:c r="O4" s="136"/>
      <x:c r="P4" s="136"/>
      <x:c r="Q4" s="136"/>
      <x:c r="R4" s="136"/>
      <x:c r="S4" s="136"/>
      <x:c r="T4" s="136"/>
      <x:c r="U4" s="136"/>
      <x:c r="V4" s="136"/>
      <x:c r="W4" s="136"/>
      <x:c r="X4" s="136"/>
      <x:c r="Y4" s="136"/>
      <x:c r="Z4" s="136"/>
    </x:row>
    <x:row r="5">
      <x:c r="A5" s="116" t="n">
        <x:v>3</x:v>
      </x:c>
      <x:c r="B5" s="116" t="str">
        <x:v>Transpetro — ANP terminal disclosures</x:v>
      </x:c>
      <x:c r="C5" s="116" t="str">
        <x:v>Osório / Tramandaí and Rio Grande monthly histories and berth/vessel records</x:v>
      </x:c>
      <x:c r="D5" s="171" t="str">
        <x:v>https://transpetro.com.br/transpetro-institucional/negocios/informacoes-legais/informacoes-em-atendimento-a-anp/dutos-e-terminais.htm</x:v>
      </x:c>
      <x:c r="E5" s="116" t="str">
        <x:v>Monthly / terminal-specific</x:v>
      </x:c>
      <x:c r="F5" s="136"/>
      <x:c r="G5" s="136"/>
      <x:c r="H5" s="136"/>
      <x:c r="I5" s="136"/>
      <x:c r="J5" s="136"/>
      <x:c r="K5" s="136"/>
      <x:c r="L5" s="136"/>
      <x:c r="M5" s="136"/>
      <x:c r="N5" s="136"/>
      <x:c r="O5" s="136"/>
      <x:c r="P5" s="136"/>
      <x:c r="Q5" s="136"/>
      <x:c r="R5" s="136"/>
      <x:c r="S5" s="136"/>
      <x:c r="T5" s="136"/>
      <x:c r="U5" s="136"/>
      <x:c r="V5" s="136"/>
      <x:c r="W5" s="136"/>
      <x:c r="X5" s="136"/>
      <x:c r="Y5" s="136"/>
      <x:c r="Z5" s="136"/>
    </x:row>
    <x:row r="6">
      <x:c r="A6" s="116" t="n">
        <x:v>4</x:v>
      </x:c>
      <x:c r="B6" s="116" t="str">
        <x:v>ANP — Aquaviary terminal movements open data</x:v>
      </x:c>
      <x:c r="C6" s="116" t="str">
        <x:v>Official monthly terminal movements; historical volume backbone</x:v>
      </x:c>
      <x:c r="D6" s="171" t="str">
        <x:v>https://www.gov.br/anp/pt-br/centrais-de-conteudo/dados-abertos/movimentacao-dos-terminais-aquaviarios</x:v>
      </x:c>
      <x:c r="E6" s="116" t="str">
        <x:v>Monthly</x:v>
      </x:c>
      <x:c r="F6" s="136"/>
      <x:c r="G6" s="136"/>
      <x:c r="H6" s="136"/>
      <x:c r="I6" s="136"/>
      <x:c r="J6" s="136"/>
      <x:c r="K6" s="136"/>
      <x:c r="L6" s="136"/>
      <x:c r="M6" s="136"/>
      <x:c r="N6" s="136"/>
      <x:c r="O6" s="136"/>
      <x:c r="P6" s="136"/>
      <x:c r="Q6" s="136"/>
      <x:c r="R6" s="136"/>
      <x:c r="S6" s="136"/>
      <x:c r="T6" s="136"/>
      <x:c r="U6" s="136"/>
      <x:c r="V6" s="136"/>
      <x:c r="W6" s="136"/>
      <x:c r="X6" s="136"/>
      <x:c r="Y6" s="136"/>
      <x:c r="Z6" s="136"/>
    </x:row>
    <x:row r="7">
      <x:c r="A7" s="116" t="n">
        <x:v>5</x:v>
      </x:c>
      <x:c r="B7" s="116" t="str">
        <x:v>S&amp;P/Platts public Marketscan excerpts</x:v>
      </x:c>
      <x:c r="C7" s="116" t="str">
        <x:v>Historical USGC→Brazil Braskem fixture discovery</x:v>
      </x:c>
      <x:c r="D7" s="171" t="str">
        <x:v>https://www.petropexint.com/</x:v>
      </x:c>
      <x:c r="E7" s="116" t="str">
        <x:v>Sampled historical evidence</x:v>
      </x:c>
      <x:c r="F7" s="136"/>
      <x:c r="G7" s="136"/>
      <x:c r="H7" s="136"/>
      <x:c r="I7" s="136"/>
      <x:c r="J7" s="136"/>
      <x:c r="K7" s="136"/>
      <x:c r="L7" s="136"/>
      <x:c r="M7" s="136"/>
      <x:c r="N7" s="136"/>
      <x:c r="O7" s="136"/>
      <x:c r="P7" s="136"/>
      <x:c r="Q7" s="136"/>
      <x:c r="R7" s="136"/>
      <x:c r="S7" s="136"/>
      <x:c r="T7" s="136"/>
      <x:c r="U7" s="136"/>
      <x:c r="V7" s="136"/>
      <x:c r="W7" s="136"/>
      <x:c r="X7" s="136"/>
      <x:c r="Y7" s="136"/>
      <x:c r="Z7" s="136"/>
    </x:row>
    <x:row r="8">
      <x:c r="A8" s="116" t="n">
        <x:v>6</x:v>
      </x:c>
      <x:c r="B8" s="116" t="str">
        <x:v>Braskem filings</x:v>
      </x:c>
      <x:c r="C8" s="116" t="str">
        <x:v>Feedstock sourcing, production, utilization and narrative constraints</x:v>
      </x:c>
      <x:c r="D8" s="171" t="str">
        <x:v>https://www.sec.gov/edgar/browse/?CIK=1071438&amp;owner=exclude</x:v>
      </x:c>
      <x:c r="E8" s="116" t="str">
        <x:v>Quarterly / annual</x:v>
      </x:c>
      <x:c r="F8" s="136"/>
      <x:c r="G8" s="136"/>
      <x:c r="H8" s="136"/>
      <x:c r="I8" s="136"/>
      <x:c r="J8" s="136"/>
      <x:c r="K8" s="136"/>
      <x:c r="L8" s="136"/>
      <x:c r="M8" s="136"/>
      <x:c r="N8" s="136"/>
      <x:c r="O8" s="136"/>
      <x:c r="P8" s="136"/>
      <x:c r="Q8" s="136"/>
      <x:c r="R8" s="136"/>
      <x:c r="S8" s="136"/>
      <x:c r="T8" s="136"/>
      <x:c r="U8" s="136"/>
      <x:c r="V8" s="136"/>
      <x:c r="W8" s="136"/>
      <x:c r="X8" s="136"/>
      <x:c r="Y8" s="136"/>
      <x:c r="Z8" s="136"/>
    </x:row>
    <x:row r="9">
      <x:c r="A9" s="176"/>
      <x:c r="B9" s="176"/>
      <x:c r="C9" s="176"/>
      <x:c r="D9" s="176"/>
      <x:c r="E9" s="176"/>
      <x:c r="F9" s="136"/>
      <x:c r="G9" s="136"/>
      <x:c r="H9" s="136"/>
      <x:c r="I9" s="136"/>
      <x:c r="J9" s="136"/>
      <x:c r="K9" s="136"/>
      <x:c r="L9" s="136"/>
      <x:c r="M9" s="136"/>
      <x:c r="N9" s="136"/>
      <x:c r="O9" s="136"/>
      <x:c r="P9" s="136"/>
      <x:c r="Q9" s="136"/>
      <x:c r="R9" s="136"/>
      <x:c r="S9" s="136"/>
      <x:c r="T9" s="136"/>
      <x:c r="U9" s="136"/>
      <x:c r="V9" s="136"/>
      <x:c r="W9" s="136"/>
      <x:c r="X9" s="136"/>
      <x:c r="Y9" s="136"/>
      <x:c r="Z9" s="136"/>
    </x:row>
    <x:row r="10">
      <x:c r="A10" s="186" t="str">
        <x:v>Evidence Tiers</x:v>
      </x:c>
      <x:c r="B10" s="186"/>
      <x:c r="C10" s="186"/>
      <x:c r="D10" s="186"/>
      <x:c r="E10" s="186"/>
      <x:c r="F10" s="136"/>
      <x:c r="G10" s="136"/>
      <x:c r="H10" s="136"/>
      <x:c r="I10" s="136"/>
      <x:c r="J10" s="136"/>
      <x:c r="K10" s="136"/>
      <x:c r="L10" s="136"/>
      <x:c r="M10" s="136"/>
      <x:c r="N10" s="136"/>
      <x:c r="O10" s="136"/>
      <x:c r="P10" s="136"/>
      <x:c r="Q10" s="136"/>
      <x:c r="R10" s="136"/>
      <x:c r="S10" s="136"/>
      <x:c r="T10" s="136"/>
      <x:c r="U10" s="136"/>
      <x:c r="V10" s="136"/>
      <x:c r="W10" s="136"/>
      <x:c r="X10" s="136"/>
      <x:c r="Y10" s="136"/>
      <x:c r="Z10" s="136"/>
    </x:row>
    <x:row r="11">
      <x:c r="A11" s="176" t="str">
        <x:v>Tier 1</x:v>
      </x:c>
      <x:c r="B11" s="176" t="str">
        <x:v>Port/terminal record + naphtha + Braskem operator</x:v>
      </x:c>
      <x:c r="C11" s="176" t="str">
        <x:v>Use in completed tonnage totals</x:v>
      </x:c>
      <x:c r="D11" s="176" t="str"/>
      <x:c r="E11" s="176" t="str"/>
      <x:c r="F11" s="136"/>
      <x:c r="G11" s="136"/>
      <x:c r="H11" s="136"/>
      <x:c r="I11" s="136"/>
      <x:c r="J11" s="136"/>
      <x:c r="K11" s="136"/>
      <x:c r="L11" s="136"/>
      <x:c r="M11" s="136"/>
      <x:c r="N11" s="136"/>
      <x:c r="O11" s="136"/>
      <x:c r="P11" s="136"/>
      <x:c r="Q11" s="136"/>
      <x:c r="R11" s="136"/>
      <x:c r="S11" s="136"/>
      <x:c r="T11" s="136"/>
      <x:c r="U11" s="136"/>
      <x:c r="V11" s="136"/>
      <x:c r="W11" s="136"/>
      <x:c r="X11" s="136"/>
      <x:c r="Y11" s="136"/>
      <x:c r="Z11" s="136"/>
    </x:row>
    <x:row r="12">
      <x:c r="A12" s="176" t="str">
        <x:v>Tier 1 forward</x:v>
      </x:c>
      <x:c r="B12" s="176" t="str">
        <x:v>Port schedule + naphtha + Braskem operator, not completed</x:v>
      </x:c>
      <x:c r="C12" s="176" t="str">
        <x:v>Track separately until discharge</x:v>
      </x:c>
      <x:c r="D12" s="176" t="str"/>
      <x:c r="E12" s="176" t="str"/>
      <x:c r="F12" s="136"/>
      <x:c r="G12" s="136"/>
      <x:c r="H12" s="136"/>
      <x:c r="I12" s="136"/>
      <x:c r="J12" s="136"/>
      <x:c r="K12" s="136"/>
      <x:c r="L12" s="136"/>
      <x:c r="M12" s="136"/>
      <x:c r="N12" s="136"/>
      <x:c r="O12" s="136"/>
      <x:c r="P12" s="136"/>
      <x:c r="Q12" s="136"/>
      <x:c r="R12" s="136"/>
      <x:c r="S12" s="136"/>
      <x:c r="T12" s="136"/>
      <x:c r="U12" s="136"/>
      <x:c r="V12" s="136"/>
      <x:c r="W12" s="136"/>
      <x:c r="X12" s="136"/>
      <x:c r="Y12" s="136"/>
      <x:c r="Z12" s="136"/>
    </x:row>
    <x:row r="13">
      <x:c r="A13" s="176" t="str">
        <x:v>Tier 2</x:v>
      </x:c>
      <x:c r="B13" s="176" t="str">
        <x:v>Port schedule says naphtha but operator TBN/unconfirmed</x:v>
      </x:c>
      <x:c r="C13" s="176" t="str">
        <x:v>Provisional forward only</x:v>
      </x:c>
      <x:c r="D13" s="176" t="str"/>
      <x:c r="E13" s="176" t="str"/>
      <x:c r="F13" s="136"/>
      <x:c r="G13" s="136"/>
      <x:c r="H13" s="136"/>
      <x:c r="I13" s="136"/>
      <x:c r="J13" s="136"/>
      <x:c r="K13" s="136"/>
      <x:c r="L13" s="136"/>
      <x:c r="M13" s="136"/>
      <x:c r="N13" s="136"/>
      <x:c r="O13" s="136"/>
      <x:c r="P13" s="136"/>
      <x:c r="Q13" s="136"/>
      <x:c r="R13" s="136"/>
      <x:c r="S13" s="136"/>
      <x:c r="T13" s="136"/>
      <x:c r="U13" s="136"/>
      <x:c r="V13" s="136"/>
      <x:c r="W13" s="136"/>
      <x:c r="X13" s="136"/>
      <x:c r="Y13" s="136"/>
      <x:c r="Z13" s="136"/>
    </x:row>
    <x:row r="14">
      <x:c r="A14" s="176" t="str">
        <x:v>Tier 3</x:v>
      </x:c>
      <x:c r="B14" s="176" t="str">
        <x:v>Fixture/AIS evidence only</x:v>
      </x:c>
      <x:c r="C14" s="176" t="str">
        <x:v>Discovery evidence; not completed delivery without confirmation</x:v>
      </x:c>
      <x:c r="D14" s="176" t="str"/>
      <x:c r="E14" s="176" t="str"/>
      <x:c r="F14" s="136"/>
      <x:c r="G14" s="136"/>
      <x:c r="H14" s="136"/>
      <x:c r="I14" s="136"/>
      <x:c r="J14" s="136"/>
      <x:c r="K14" s="136"/>
      <x:c r="L14" s="136"/>
      <x:c r="M14" s="136"/>
      <x:c r="N14" s="136"/>
      <x:c r="O14" s="136"/>
      <x:c r="P14" s="136"/>
      <x:c r="Q14" s="136"/>
      <x:c r="R14" s="136"/>
      <x:c r="S14" s="136"/>
      <x:c r="T14" s="136"/>
      <x:c r="U14" s="136"/>
      <x:c r="V14" s="136"/>
      <x:c r="W14" s="136"/>
      <x:c r="X14" s="136"/>
      <x:c r="Y14" s="136"/>
      <x:c r="Z14" s="136"/>
    </x:row>
    <x:row r="15">
      <x:c r="A15" s="176"/>
      <x:c r="B15" s="176"/>
      <x:c r="C15" s="176"/>
      <x:c r="D15" s="176"/>
      <x:c r="E15" s="176"/>
      <x:c r="F15" s="136"/>
      <x:c r="G15" s="136"/>
      <x:c r="H15" s="136"/>
      <x:c r="I15" s="136"/>
      <x:c r="J15" s="136"/>
      <x:c r="K15" s="136"/>
      <x:c r="L15" s="136"/>
      <x:c r="M15" s="136"/>
      <x:c r="N15" s="136"/>
      <x:c r="O15" s="136"/>
      <x:c r="P15" s="136"/>
      <x:c r="Q15" s="136"/>
      <x:c r="R15" s="136"/>
      <x:c r="S15" s="136"/>
      <x:c r="T15" s="136"/>
      <x:c r="U15" s="136"/>
      <x:c r="V15" s="136"/>
      <x:c r="W15" s="136"/>
      <x:c r="X15" s="136"/>
      <x:c r="Y15" s="136"/>
      <x:c r="Z15" s="136"/>
    </x:row>
    <x:row r="16">
      <x:c r="A16" s="186" t="str">
        <x:v>Weekly Update Procedure</x:v>
      </x:c>
      <x:c r="B16" s="186"/>
      <x:c r="C16" s="186"/>
      <x:c r="D16" s="186"/>
      <x:c r="E16" s="186"/>
      <x:c r="F16" s="136"/>
      <x:c r="G16" s="136"/>
      <x:c r="H16" s="136"/>
      <x:c r="I16" s="136"/>
      <x:c r="J16" s="136"/>
      <x:c r="K16" s="136"/>
      <x:c r="L16" s="136"/>
      <x:c r="M16" s="136"/>
      <x:c r="N16" s="136"/>
      <x:c r="O16" s="136"/>
      <x:c r="P16" s="136"/>
      <x:c r="Q16" s="136"/>
      <x:c r="R16" s="136"/>
      <x:c r="S16" s="136"/>
      <x:c r="T16" s="136"/>
      <x:c r="U16" s="136"/>
      <x:c r="V16" s="136"/>
      <x:c r="W16" s="136"/>
      <x:c r="X16" s="136"/>
      <x:c r="Y16" s="136"/>
      <x:c r="Z16" s="136"/>
    </x:row>
    <x:row r="17">
      <x:c r="A17" s="176" t="str">
        <x:v>1</x:v>
      </x:c>
      <x:c r="B17" s="176" t="str">
        <x:v>Pull CODEBA Aratu schedule; add new NAFTHA rows to Arrivals.</x:v>
      </x:c>
      <x:c r="C17" s="176" t="str"/>
      <x:c r="D17" s="176" t="str"/>
      <x:c r="E17" s="176" t="str"/>
      <x:c r="F17" s="136"/>
      <x:c r="G17" s="136"/>
      <x:c r="H17" s="136"/>
      <x:c r="I17" s="136"/>
      <x:c r="J17" s="136"/>
      <x:c r="K17" s="136"/>
      <x:c r="L17" s="136"/>
      <x:c r="M17" s="136"/>
      <x:c r="N17" s="136"/>
      <x:c r="O17" s="136"/>
      <x:c r="P17" s="136"/>
      <x:c r="Q17" s="136"/>
      <x:c r="R17" s="136"/>
      <x:c r="S17" s="136"/>
      <x:c r="T17" s="136"/>
      <x:c r="U17" s="136"/>
      <x:c r="V17" s="136"/>
      <x:c r="W17" s="136"/>
      <x:c r="X17" s="136"/>
      <x:c r="Y17" s="136"/>
      <x:c r="Z17" s="136"/>
    </x:row>
    <x:row r="18">
      <x:c r="A18" s="176" t="str">
        <x:v>2</x:v>
      </x:c>
      <x:c r="B18" s="176" t="str">
        <x:v>Classify Future LR1 vs third-party; verify operator Braskem.</x:v>
      </x:c>
      <x:c r="C18" s="176" t="str"/>
      <x:c r="D18" s="176" t="str"/>
      <x:c r="E18" s="176" t="str"/>
      <x:c r="F18" s="136"/>
      <x:c r="G18" s="136"/>
      <x:c r="H18" s="136"/>
      <x:c r="I18" s="136"/>
      <x:c r="J18" s="136"/>
      <x:c r="K18" s="136"/>
      <x:c r="L18" s="136"/>
      <x:c r="M18" s="136"/>
      <x:c r="N18" s="136"/>
      <x:c r="O18" s="136"/>
      <x:c r="P18" s="136"/>
      <x:c r="Q18" s="136"/>
      <x:c r="R18" s="136"/>
      <x:c r="S18" s="136"/>
      <x:c r="T18" s="136"/>
      <x:c r="U18" s="136"/>
      <x:c r="V18" s="136"/>
      <x:c r="W18" s="136"/>
      <x:c r="X18" s="136"/>
      <x:c r="Y18" s="136"/>
      <x:c r="Z18" s="136"/>
    </x:row>
    <x:row r="19">
      <x:c r="A19" s="176" t="str">
        <x:v>3</x:v>
      </x:c>
      <x:c r="B19" s="176" t="str">
        <x:v>Check Braskem/Transpetro ANP-881 pages for Osório/Rio Grande / Santa Clara movements.</x:v>
      </x:c>
      <x:c r="C19" s="176" t="str"/>
      <x:c r="D19" s="176" t="str"/>
      <x:c r="E19" s="176" t="str"/>
      <x:c r="F19" s="136"/>
      <x:c r="G19" s="136"/>
      <x:c r="H19" s="136"/>
      <x:c r="I19" s="136"/>
      <x:c r="J19" s="136"/>
      <x:c r="K19" s="136"/>
      <x:c r="L19" s="136"/>
      <x:c r="M19" s="136"/>
      <x:c r="N19" s="136"/>
      <x:c r="O19" s="136"/>
      <x:c r="P19" s="136"/>
      <x:c r="Q19" s="136"/>
      <x:c r="R19" s="136"/>
      <x:c r="S19" s="136"/>
      <x:c r="T19" s="136"/>
      <x:c r="U19" s="136"/>
      <x:c r="V19" s="136"/>
      <x:c r="W19" s="136"/>
      <x:c r="X19" s="136"/>
      <x:c r="Y19" s="136"/>
      <x:c r="Z19" s="136"/>
    </x:row>
    <x:row r="20">
      <x:c r="A20" s="176" t="str">
        <x:v>4</x:v>
      </x:c>
      <x:c r="B20" s="176" t="str">
        <x:v>Update ANP monthly terminal-volume backfill when released.</x:v>
      </x:c>
      <x:c r="C20" s="176" t="str"/>
      <x:c r="D20" s="176" t="str"/>
      <x:c r="E20" s="176" t="str"/>
      <x:c r="F20" s="136"/>
      <x:c r="G20" s="136"/>
      <x:c r="H20" s="136"/>
      <x:c r="I20" s="136"/>
      <x:c r="J20" s="136"/>
      <x:c r="K20" s="136"/>
      <x:c r="L20" s="136"/>
      <x:c r="M20" s="136"/>
      <x:c r="N20" s="136"/>
      <x:c r="O20" s="136"/>
      <x:c r="P20" s="136"/>
      <x:c r="Q20" s="136"/>
      <x:c r="R20" s="136"/>
      <x:c r="S20" s="136"/>
      <x:c r="T20" s="136"/>
      <x:c r="U20" s="136"/>
      <x:c r="V20" s="136"/>
      <x:c r="W20" s="136"/>
      <x:c r="X20" s="136"/>
      <x:c r="Y20" s="136"/>
      <x:c r="Z20" s="136"/>
    </x:row>
    <x:row r="21">
      <x:c r="A21" s="176" t="str">
        <x:v>5</x:v>
      </x:c>
      <x:c r="B21" s="176" t="str">
        <x:v>Compare Future tonnes vs third-party tonnes; do not infer additive supply from Future arrivals alone.</x:v>
      </x:c>
      <x:c r="C21" s="176" t="str"/>
      <x:c r="D21" s="176" t="str"/>
      <x:c r="E21" s="176" t="str"/>
      <x:c r="F21" s="136"/>
      <x:c r="G21" s="136"/>
      <x:c r="H21" s="136"/>
      <x:c r="I21" s="136"/>
      <x:c r="J21" s="136"/>
      <x:c r="K21" s="136"/>
      <x:c r="L21" s="136"/>
      <x:c r="M21" s="136"/>
      <x:c r="N21" s="136"/>
      <x:c r="O21" s="136"/>
      <x:c r="P21" s="136"/>
      <x:c r="Q21" s="136"/>
      <x:c r="R21" s="136"/>
      <x:c r="S21" s="136"/>
      <x:c r="T21" s="136"/>
      <x:c r="U21" s="136"/>
      <x:c r="V21" s="136"/>
      <x:c r="W21" s="136"/>
      <x:c r="X21" s="136"/>
      <x:c r="Y21" s="136"/>
      <x:c r="Z21" s="136"/>
    </x:row>
    <x:row r="22">
      <x:c r="A22" s="176" t="str">
        <x:v>6</x:v>
      </x:c>
      <x:c r="B22" s="176" t="str">
        <x:v>At quarter-end reconcile to Braskem ethylene production/utilization and sourcing.</x:v>
      </x:c>
      <x:c r="C22" s="176" t="str"/>
      <x:c r="D22" s="176" t="str"/>
      <x:c r="E22" s="176" t="str"/>
      <x:c r="F22" s="136"/>
      <x:c r="G22" s="136"/>
      <x:c r="H22" s="136"/>
      <x:c r="I22" s="136"/>
      <x:c r="J22" s="136"/>
      <x:c r="K22" s="136"/>
      <x:c r="L22" s="136"/>
      <x:c r="M22" s="136"/>
      <x:c r="N22" s="136"/>
      <x:c r="O22" s="136"/>
      <x:c r="P22" s="136"/>
      <x:c r="Q22" s="136"/>
      <x:c r="R22" s="136"/>
      <x:c r="S22" s="136"/>
      <x:c r="T22" s="136"/>
      <x:c r="U22" s="136"/>
      <x:c r="V22" s="136"/>
      <x:c r="W22" s="136"/>
      <x:c r="X22" s="136"/>
      <x:c r="Y22" s="136"/>
      <x:c r="Z22" s="136"/>
    </x:row>
    <x:row r="23">
      <x:c r="A23" s="136"/>
      <x:c r="B23" s="136"/>
      <x:c r="C23" s="136"/>
      <x:c r="D23" s="136"/>
      <x:c r="E23" s="136"/>
      <x:c r="F23" s="136"/>
      <x:c r="G23" s="136"/>
      <x:c r="H23" s="136"/>
      <x:c r="I23" s="136"/>
      <x:c r="J23" s="136"/>
      <x:c r="K23" s="136"/>
      <x:c r="L23" s="136"/>
      <x:c r="M23" s="136"/>
      <x:c r="N23" s="136"/>
      <x:c r="O23" s="136"/>
      <x:c r="P23" s="136"/>
      <x:c r="Q23" s="136"/>
      <x:c r="R23" s="136"/>
      <x:c r="S23" s="136"/>
      <x:c r="T23" s="136"/>
      <x:c r="U23" s="136"/>
      <x:c r="V23" s="136"/>
      <x:c r="W23" s="136"/>
      <x:c r="X23" s="136"/>
      <x:c r="Y23" s="136"/>
      <x:c r="Z23" s="136"/>
    </x:row>
    <x:row r="24">
      <x:c r="A24" s="220" t="str">
        <x:v>2026 Backfill Sources</x:v>
      </x:c>
      <x:c r="B24" s="220" t="str"/>
      <x:c r="C24" s="220" t="str"/>
      <x:c r="D24" s="220" t="str"/>
      <x:c r="E24" s="220" t="str"/>
      <x:c r="F24" s="136"/>
      <x:c r="G24" s="136"/>
      <x:c r="H24" s="136"/>
      <x:c r="I24" s="136"/>
      <x:c r="J24" s="136"/>
      <x:c r="K24" s="136"/>
      <x:c r="L24" s="136"/>
      <x:c r="M24" s="136"/>
      <x:c r="N24" s="136"/>
      <x:c r="O24" s="136"/>
      <x:c r="P24" s="136"/>
      <x:c r="Q24" s="136"/>
      <x:c r="R24" s="136"/>
      <x:c r="S24" s="136"/>
      <x:c r="T24" s="136"/>
      <x:c r="U24" s="136"/>
      <x:c r="V24" s="136"/>
      <x:c r="W24" s="136"/>
      <x:c r="X24" s="136"/>
      <x:c r="Y24" s="136"/>
      <x:c r="Z24" s="136"/>
    </x:row>
    <x:row r="25">
      <x:c r="A25" s="116" t="n">
        <x:v>7</x:v>
      </x:c>
      <x:c r="B25" s="116" t="str">
        <x:v>CODEBA H1 2026 official release</x:v>
      </x:c>
      <x:c r="C25" s="116" t="str">
        <x:v>Aratu H1 3.70Mt; imports +12.99%; June 692.2kt</x:v>
      </x:c>
      <x:c r="D25" s="171" t="str">
        <x:v>https://codeba.gov.br/eficiente/sites/portalcodeba/pt-br/site.php?pub=10534&amp;secao=noticias_gerais</x:v>
      </x:c>
      <x:c r="E25" s="116" t="str">
        <x:v>H1 / monthly context</x:v>
      </x:c>
      <x:c r="F25" s="136"/>
      <x:c r="G25" s="136"/>
      <x:c r="H25" s="136"/>
      <x:c r="I25" s="136"/>
      <x:c r="J25" s="136"/>
      <x:c r="K25" s="136"/>
      <x:c r="L25" s="136"/>
      <x:c r="M25" s="136"/>
      <x:c r="N25" s="136"/>
      <x:c r="O25" s="136"/>
      <x:c r="P25" s="136"/>
      <x:c r="Q25" s="136"/>
      <x:c r="R25" s="136"/>
      <x:c r="S25" s="136"/>
      <x:c r="T25" s="136"/>
      <x:c r="U25" s="136"/>
      <x:c r="V25" s="136"/>
      <x:c r="W25" s="136"/>
      <x:c r="X25" s="136"/>
      <x:c r="Y25" s="136"/>
      <x:c r="Z25" s="136"/>
    </x:row>
    <x:row r="26">
      <x:c r="A26" s="116" t="n">
        <x:v>8</x:v>
      </x:c>
      <x:c r="B26" s="116" t="str">
        <x:v>CODEBA / Ministry Feb-26 release</x:v>
      </x:c>
      <x:c r="C26" s="116" t="str">
        <x:v>Aratu Feb-26 total cargo 555kt</x:v>
      </x:c>
      <x:c r="D26" s="171" t="str">
        <x:v>https://www.codeba.gov.br/eficiente/sites/portalcodeba/pt-br/site.php?pub=10382&amp;secao=noticias_gerais</x:v>
      </x:c>
      <x:c r="E26" s="116" t="str">
        <x:v>Historical context</x:v>
      </x:c>
      <x:c r="F26" s="136"/>
      <x:c r="G26" s="136"/>
      <x:c r="H26" s="136"/>
      <x:c r="I26" s="136"/>
      <x:c r="J26" s="136"/>
      <x:c r="K26" s="136"/>
      <x:c r="L26" s="136"/>
      <x:c r="M26" s="136"/>
      <x:c r="N26" s="136"/>
      <x:c r="O26" s="136"/>
      <x:c r="P26" s="136"/>
      <x:c r="Q26" s="136"/>
      <x:c r="R26" s="136"/>
      <x:c r="S26" s="136"/>
      <x:c r="T26" s="136"/>
      <x:c r="U26" s="136"/>
      <x:c r="V26" s="136"/>
      <x:c r="W26" s="136"/>
      <x:c r="X26" s="136"/>
      <x:c r="Y26" s="136"/>
      <x:c r="Z26" s="136"/>
    </x:row>
    <x:row r="27">
      <x:c r="A27" s="116" t="n">
        <x:v>9</x:v>
      </x:c>
      <x:c r="B27" s="116" t="str">
        <x:v>ABTRA / CODEBA-linked Mar-26 reporting</x:v>
      </x:c>
      <x:c r="C27" s="116" t="str">
        <x:v>Aratu Mar-26 total cargo 681.65kt</x:v>
      </x:c>
      <x:c r="D27" s="171" t="str">
        <x:v>https://www.abtra.org.br/noticias/portos-da-bahia-ampliam-movimentacao-em-quase-28-em-marco/</x:v>
      </x:c>
      <x:c r="E27" s="116" t="str">
        <x:v>Historical context</x:v>
      </x:c>
      <x:c r="F27" s="136"/>
      <x:c r="G27" s="136"/>
      <x:c r="H27" s="136"/>
      <x:c r="I27" s="136"/>
      <x:c r="J27" s="136"/>
      <x:c r="K27" s="136"/>
      <x:c r="L27" s="136"/>
      <x:c r="M27" s="136"/>
      <x:c r="N27" s="136"/>
      <x:c r="O27" s="136"/>
      <x:c r="P27" s="136"/>
      <x:c r="Q27" s="136"/>
      <x:c r="R27" s="136"/>
      <x:c r="S27" s="136"/>
      <x:c r="T27" s="136"/>
      <x:c r="U27" s="136"/>
      <x:c r="V27" s="136"/>
      <x:c r="W27" s="136"/>
      <x:c r="X27" s="136"/>
      <x:c r="Y27" s="136"/>
      <x:c r="Z27" s="136"/>
    </x:row>
    <x:row r="28">
      <x:c r="A28" s="116" t="n">
        <x:v>10</x:v>
      </x:c>
      <x:c r="B28" s="116" t="str">
        <x:v>Jornal Grande Bahia using CODEBA statistics</x:v>
      </x:c>
      <x:c r="C28" s="116" t="str">
        <x:v>Aratu Jan–May 2026 cumulative total cargo 3,008.443kt</x:v>
      </x:c>
      <x:c r="D28" s="171" t="str">
        <x:v>https://jornalgrandebahia.com.br/2026/08/porto-de-aratu-abre-nova-rota-de-graos-no-atu-18-operacao-iniciada-em-marco-de-2026-mira-3-milhoes-de-toneladas-em-2026/</x:v>
      </x:c>
      <x:c r="E28" s="116" t="str">
        <x:v>Historical context</x:v>
      </x:c>
      <x:c r="F28" s="136"/>
      <x:c r="G28" s="136"/>
      <x:c r="H28" s="136"/>
      <x:c r="I28" s="136"/>
      <x:c r="J28" s="136"/>
      <x:c r="K28" s="136"/>
      <x:c r="L28" s="136"/>
      <x:c r="M28" s="136"/>
      <x:c r="N28" s="136"/>
      <x:c r="O28" s="136"/>
      <x:c r="P28" s="136"/>
      <x:c r="Q28" s="136"/>
      <x:c r="R28" s="136"/>
      <x:c r="S28" s="136"/>
      <x:c r="T28" s="136"/>
      <x:c r="U28" s="136"/>
      <x:c r="V28" s="136"/>
      <x:c r="W28" s="136"/>
      <x:c r="X28" s="136"/>
      <x:c r="Y28" s="136"/>
      <x:c r="Z28" s="136"/>
    </x:row>
    <x:row r="29">
      <x:c r="A29" s="136"/>
      <x:c r="B29" s="136"/>
      <x:c r="C29" s="136"/>
      <x:c r="D29" s="136"/>
      <x:c r="E29" s="136"/>
      <x:c r="F29" s="136"/>
      <x:c r="G29" s="136"/>
      <x:c r="H29" s="136"/>
      <x:c r="I29" s="136"/>
      <x:c r="J29" s="136"/>
      <x:c r="K29" s="136"/>
      <x:c r="L29" s="136"/>
      <x:c r="M29" s="136"/>
      <x:c r="N29" s="136"/>
      <x:c r="O29" s="136"/>
      <x:c r="P29" s="136"/>
      <x:c r="Q29" s="136"/>
      <x:c r="R29" s="136"/>
      <x:c r="S29" s="136"/>
      <x:c r="T29" s="136"/>
      <x:c r="U29" s="136"/>
      <x:c r="V29" s="136"/>
      <x:c r="W29" s="136"/>
      <x:c r="X29" s="136"/>
      <x:c r="Y29" s="136"/>
      <x:c r="Z29" s="136"/>
    </x:row>
    <x:row r="30">
      <x:c r="A30" s="256" t="str">
        <x:v>Reconstruction Sources</x:v>
      </x:c>
      <x:c r="B30" s="256" t="str"/>
      <x:c r="C30" s="256" t="str"/>
      <x:c r="D30" s="256" t="str"/>
      <x:c r="E30" s="256" t="str"/>
      <x:c r="F30" s="136"/>
      <x:c r="G30" s="136"/>
      <x:c r="H30" s="136"/>
      <x:c r="I30" s="136"/>
      <x:c r="J30" s="136"/>
      <x:c r="K30" s="136"/>
      <x:c r="L30" s="136"/>
      <x:c r="M30" s="136"/>
      <x:c r="N30" s="136"/>
      <x:c r="O30" s="136"/>
      <x:c r="P30" s="136"/>
      <x:c r="Q30" s="136"/>
      <x:c r="R30" s="136"/>
      <x:c r="S30" s="136"/>
      <x:c r="T30" s="136"/>
      <x:c r="U30" s="136"/>
      <x:c r="V30" s="136"/>
      <x:c r="W30" s="136"/>
      <x:c r="X30" s="136"/>
      <x:c r="Y30" s="136"/>
      <x:c r="Z30" s="136"/>
    </x:row>
    <x:row r="31">
      <x:c r="A31" s="116" t="n">
        <x:v>11</x:v>
      </x:c>
      <x:c r="B31" s="116" t="str">
        <x:v>ANP national naphtha import series</x:v>
      </x:c>
      <x:c r="C31" s="116" t="str">
        <x:v>Rechecked Oct-12; national file unchanged through August.</x:v>
      </x:c>
      <x:c r="D31" s="171" t="str">
        <x:v>https://www.gov.br/anp/pt-br/centrais-de-conteudo/dados-abertos/arquivos/ie/derivados/importacoes-exportacoes-derivados-2000-2025.csv/view</x:v>
      </x:c>
      <x:c r="E31" s="116" t="str">
        <x:v>Monthly</x:v>
      </x:c>
      <x:c r="F31" s="136"/>
      <x:c r="G31" s="136"/>
      <x:c r="H31" s="136"/>
      <x:c r="I31" s="136"/>
      <x:c r="J31" s="136"/>
      <x:c r="K31" s="136"/>
      <x:c r="L31" s="136"/>
      <x:c r="M31" s="136"/>
      <x:c r="N31" s="136"/>
      <x:c r="O31" s="136"/>
      <x:c r="P31" s="136"/>
      <x:c r="Q31" s="136"/>
      <x:c r="R31" s="136"/>
      <x:c r="S31" s="136"/>
      <x:c r="T31" s="136"/>
      <x:c r="U31" s="136"/>
      <x:c r="V31" s="136"/>
      <x:c r="W31" s="136"/>
      <x:c r="X31" s="136"/>
      <x:c r="Y31" s="136"/>
      <x:c r="Z31" s="136"/>
    </x:row>
    <x:row r="32">
      <x:c r="A32" s="116" t="n">
        <x:v>12</x:v>
      </x:c>
      <x:c r="B32" s="116" t="str">
        <x:v>ANP 2026 customs clearances</x:v>
      </x:c>
      <x:c r="C32" s="116" t="str">
        <x:v>Importer / product / entry point / kg / origin</x:v>
      </x:c>
      <x:c r="D32" s="171" t="str">
        <x:v>https://www.gov.br/anp/pt-br/assuntos/importacoes-e-exportacoes/arquivos-desembaracos/desembaraco-2026.xlsx</x:v>
      </x:c>
      <x:c r="E32" s="116" t="str">
        <x:v>Monthly, second half following month</x:v>
      </x:c>
      <x:c r="F32" s="136"/>
      <x:c r="G32" s="136"/>
      <x:c r="H32" s="136"/>
      <x:c r="I32" s="136"/>
      <x:c r="J32" s="136"/>
      <x:c r="K32" s="136"/>
      <x:c r="L32" s="136"/>
      <x:c r="M32" s="136"/>
      <x:c r="N32" s="136"/>
      <x:c r="O32" s="136"/>
      <x:c r="P32" s="136"/>
      <x:c r="Q32" s="136"/>
      <x:c r="R32" s="136"/>
      <x:c r="S32" s="136"/>
      <x:c r="T32" s="136"/>
      <x:c r="U32" s="136"/>
      <x:c r="V32" s="136"/>
      <x:c r="W32" s="136"/>
      <x:c r="X32" s="136"/>
      <x:c r="Y32" s="136"/>
      <x:c r="Z32" s="136"/>
    </x:row>
    <x:row r="33">
      <x:c r="A33" s="116" t="n">
        <x:v>13</x:v>
      </x:c>
      <x:c r="B33" s="116" t="str">
        <x:v>ANP customs clearance landing page</x:v>
      </x:c>
      <x:c r="C33" s="116" t="str">
        <x:v>Explains fields and publication cadence</x:v>
      </x:c>
      <x:c r="D33" s="171" t="str">
        <x:v>https://www.gov.br/anp/pt-br/assuntos/importacoes-e-exportacoes/relatorio-de-desembaracos-de-importacoes-de-petroleo-gas-derivados-e-biocombustiveis</x:v>
      </x:c>
      <x:c r="E33" s="116" t="str">
        <x:v>Monthly</x:v>
      </x:c>
      <x:c r="F33" s="136"/>
      <x:c r="G33" s="136"/>
      <x:c r="H33" s="136"/>
      <x:c r="I33" s="136"/>
      <x:c r="J33" s="136"/>
      <x:c r="K33" s="136"/>
      <x:c r="L33" s="136"/>
      <x:c r="M33" s="136"/>
      <x:c r="N33" s="136"/>
      <x:c r="O33" s="136"/>
      <x:c r="P33" s="136"/>
      <x:c r="Q33" s="136"/>
      <x:c r="R33" s="136"/>
      <x:c r="S33" s="136"/>
      <x:c r="T33" s="136"/>
      <x:c r="U33" s="136"/>
      <x:c r="V33" s="136"/>
      <x:c r="W33" s="136"/>
      <x:c r="X33" s="136"/>
      <x:c r="Y33" s="136"/>
      <x:c r="Z33" s="136"/>
    </x:row>
    <x:row r="34">
      <x:c r="A34" s="116" t="n">
        <x:v>14</x:v>
      </x:c>
      <x:c r="B34" s="116" t="str">
        <x:v>ANP terminal movements</x:v>
      </x:c>
      <x:c r="C34" s="116" t="str">
        <x:v>Terminal receipt/delivery volumes</x:v>
      </x:c>
      <x:c r="D34" s="171" t="str">
        <x:v>https://www.gov.br/anp/pt-br/centrais-de-conteudo/dados-abertos/movimentacao-dos-terminais-aquaviarios</x:v>
      </x:c>
      <x:c r="E34" s="116" t="str">
        <x:v>Monthly</x:v>
      </x:c>
      <x:c r="F34" s="136"/>
      <x:c r="G34" s="136"/>
      <x:c r="H34" s="136"/>
      <x:c r="I34" s="136"/>
      <x:c r="J34" s="136"/>
      <x:c r="K34" s="136"/>
      <x:c r="L34" s="136"/>
      <x:c r="M34" s="136"/>
      <x:c r="N34" s="136"/>
      <x:c r="O34" s="136"/>
      <x:c r="P34" s="136"/>
      <x:c r="Q34" s="136"/>
      <x:c r="R34" s="136"/>
      <x:c r="S34" s="136"/>
      <x:c r="T34" s="136"/>
      <x:c r="U34" s="136"/>
      <x:c r="V34" s="136"/>
      <x:c r="W34" s="136"/>
      <x:c r="X34" s="136"/>
      <x:c r="Y34" s="136"/>
      <x:c r="Z34" s="136"/>
    </x:row>
    <x:row r="35">
      <x:c r="A35" s="136"/>
      <x:c r="B35" s="136"/>
      <x:c r="C35" s="136"/>
      <x:c r="D35" s="136"/>
      <x:c r="E35" s="136"/>
      <x:c r="F35" s="136"/>
      <x:c r="G35" s="136"/>
      <x:c r="H35" s="136"/>
      <x:c r="I35" s="136"/>
      <x:c r="J35" s="136"/>
      <x:c r="K35" s="136"/>
      <x:c r="L35" s="136"/>
      <x:c r="M35" s="136"/>
      <x:c r="N35" s="136"/>
      <x:c r="O35" s="136"/>
      <x:c r="P35" s="136"/>
      <x:c r="Q35" s="136"/>
      <x:c r="R35" s="136"/>
      <x:c r="S35" s="136"/>
      <x:c r="T35" s="136"/>
      <x:c r="U35" s="136"/>
      <x:c r="V35" s="136"/>
      <x:c r="W35" s="136"/>
      <x:c r="X35" s="136"/>
      <x:c r="Y35" s="136"/>
      <x:c r="Z35" s="136"/>
    </x:row>
    <x:row r="36">
      <x:c r="A36" s="297" t="str">
        <x:v>Latest Sep-2 Refresh Sources</x:v>
      </x:c>
      <x:c r="B36" s="297" t="str"/>
      <x:c r="C36" s="297" t="str"/>
      <x:c r="D36" s="297" t="str"/>
      <x:c r="E36" s="297" t="str"/>
      <x:c r="F36" s="136"/>
      <x:c r="G36" s="136"/>
      <x:c r="H36" s="136"/>
      <x:c r="I36" s="136"/>
      <x:c r="J36" s="136"/>
      <x:c r="K36" s="136"/>
      <x:c r="L36" s="136"/>
      <x:c r="M36" s="136"/>
      <x:c r="N36" s="136"/>
      <x:c r="O36" s="136"/>
      <x:c r="P36" s="136"/>
      <x:c r="Q36" s="136"/>
      <x:c r="R36" s="136"/>
      <x:c r="S36" s="136"/>
      <x:c r="T36" s="136"/>
      <x:c r="U36" s="136"/>
      <x:c r="V36" s="136"/>
      <x:c r="W36" s="136"/>
      <x:c r="X36" s="136"/>
      <x:c r="Y36" s="136"/>
      <x:c r="Z36" s="136"/>
    </x:row>
    <x:row r="37">
      <x:c r="A37" s="116" t="n">
        <x:v>15</x:v>
      </x:c>
      <x:c r="B37" s="116" t="str">
        <x:v>ANP imports dataset — Aug-28 update</x:v>
      </x:c>
      <x:c r="C37" s="116" t="str">
        <x:v>Adds July 2026 national derivatives/naphtha import data</x:v>
      </x:c>
      <x:c r="D37" s="171" t="str">
        <x:v>https://www.gov.br/anp/pt-br/centrais-de-conteudo/dados-abertos/importacoes-e-exportacoes</x:v>
      </x:c>
      <x:c r="E37" s="116" t="str">
        <x:v>Monthly</x:v>
      </x:c>
      <x:c r="F37" s="136"/>
      <x:c r="G37" s="136"/>
      <x:c r="H37" s="136"/>
      <x:c r="I37" s="136"/>
      <x:c r="J37" s="136"/>
      <x:c r="K37" s="136"/>
      <x:c r="L37" s="136"/>
      <x:c r="M37" s="136"/>
      <x:c r="N37" s="136"/>
      <x:c r="O37" s="136"/>
      <x:c r="P37" s="136"/>
      <x:c r="Q37" s="136"/>
      <x:c r="R37" s="136"/>
      <x:c r="S37" s="136"/>
      <x:c r="T37" s="136"/>
      <x:c r="U37" s="136"/>
      <x:c r="V37" s="136"/>
      <x:c r="W37" s="136"/>
      <x:c r="X37" s="136"/>
      <x:c r="Y37" s="136"/>
      <x:c r="Z37" s="136"/>
    </x:row>
    <x:row r="38">
      <x:c r="A38" s="116" t="n">
        <x:v>16</x:v>
      </x:c>
      <x:c r="B38" s="116" t="str">
        <x:v>CODEBA Aratu live schedule — Sep-2</x:v>
      </x:c>
      <x:c r="C38" s="116" t="str">
        <x:v>Torm live; Pine Olia / Bright Future / Tweed forward calls</x:v>
      </x:c>
      <x:c r="D38" s="171" t="str">
        <x:v>https://codeba.gov.br/eficiente/sites/portalcodeba/pt-br/porto_aratu.php?secao=tportos_aratu</x:v>
      </x:c>
      <x:c r="E38" s="116" t="str">
        <x:v>Near real time</x:v>
      </x:c>
      <x:c r="F38" s="136"/>
      <x:c r="G38" s="136"/>
      <x:c r="H38" s="136"/>
      <x:c r="I38" s="136"/>
      <x:c r="J38" s="136"/>
      <x:c r="K38" s="136"/>
      <x:c r="L38" s="136"/>
      <x:c r="M38" s="136"/>
      <x:c r="N38" s="136"/>
      <x:c r="O38" s="136"/>
      <x:c r="P38" s="136"/>
      <x:c r="Q38" s="136"/>
      <x:c r="R38" s="136"/>
      <x:c r="S38" s="136"/>
      <x:c r="T38" s="136"/>
      <x:c r="U38" s="136"/>
      <x:c r="V38" s="136"/>
      <x:c r="W38" s="136"/>
      <x:c r="X38" s="136"/>
      <x:c r="Y38" s="136"/>
      <x:c r="Z38" s="136"/>
    </x:row>
    <x:row r="39">
      <x:c r="A39" s="116" t="n">
        <x:v>17</x:v>
      </x:c>
      <x:c r="B39" s="116" t="str">
        <x:v>Braskem 2Q26 Production &amp; Sales</x:v>
      </x:c>
      <x:c r="C39" s="116" t="str">
        <x:v>Naphtha ARA +27% QoQ; Brazil production maintained amid feedstock volatility</x:v>
      </x:c>
      <x:c r="D39" s="171" t="str">
        <x:v>https://www.sec.gov/Archives/edgar/data/1071438/000129281426003992/bak20260730_6k.htm</x:v>
      </x:c>
      <x:c r="E39" s="116" t="str">
        <x:v>Quarterly</x:v>
      </x:c>
      <x:c r="F39" s="136"/>
      <x:c r="G39" s="136"/>
      <x:c r="H39" s="136"/>
      <x:c r="I39" s="136"/>
      <x:c r="J39" s="136"/>
      <x:c r="K39" s="136"/>
      <x:c r="L39" s="136"/>
      <x:c r="M39" s="136"/>
      <x:c r="N39" s="136"/>
      <x:c r="O39" s="136"/>
      <x:c r="P39" s="136"/>
      <x:c r="Q39" s="136"/>
      <x:c r="R39" s="136"/>
      <x:c r="S39" s="136"/>
      <x:c r="T39" s="136"/>
      <x:c r="U39" s="136"/>
      <x:c r="V39" s="136"/>
      <x:c r="W39" s="136"/>
      <x:c r="X39" s="136"/>
      <x:c r="Y39" s="136"/>
      <x:c r="Z39" s="136"/>
    </x:row>
    <x:row r="40">
      <x:c r="A40" s="116" t="n">
        <x:v>18</x:v>
      </x:c>
      <x:c r="B40" s="116" t="str">
        <x:v>Reuters — ADNOC naphtha route resumption</x:v>
      </x:c>
      <x:c r="C40" s="116" t="str">
        <x:v>Documents shock-era naphtha price spike and subsequent easing</x:v>
      </x:c>
      <x:c r="D40" s="171" t="str">
        <x:v>https://www.reuters.com/world/middle-east/adnoc-resumes-naphtha-exports-via-alternative-oman-route-traders-say-2026-06-02/</x:v>
      </x:c>
      <x:c r="E40" s="116" t="str">
        <x:v>Event context</x:v>
      </x:c>
      <x:c r="F40" s="136"/>
      <x:c r="G40" s="136"/>
      <x:c r="H40" s="136"/>
      <x:c r="I40" s="136"/>
      <x:c r="J40" s="136"/>
      <x:c r="K40" s="136"/>
      <x:c r="L40" s="136"/>
      <x:c r="M40" s="136"/>
      <x:c r="N40" s="136"/>
      <x:c r="O40" s="136"/>
      <x:c r="P40" s="136"/>
      <x:c r="Q40" s="136"/>
      <x:c r="R40" s="136"/>
      <x:c r="S40" s="136"/>
      <x:c r="T40" s="136"/>
      <x:c r="U40" s="136"/>
      <x:c r="V40" s="136"/>
      <x:c r="W40" s="136"/>
      <x:c r="X40" s="136"/>
      <x:c r="Y40" s="136"/>
      <x:c r="Z40" s="136"/>
    </x:row>
    <x:row r="41">
      <x:c r="A41" s="136"/>
      <x:c r="B41" s="136"/>
      <x:c r="C41" s="136"/>
      <x:c r="D41" s="136"/>
      <x:c r="E41" s="136"/>
      <x:c r="F41" s="136"/>
      <x:c r="G41" s="136"/>
      <x:c r="H41" s="136"/>
      <x:c r="I41" s="136"/>
      <x:c r="J41" s="136"/>
      <x:c r="K41" s="136"/>
      <x:c r="L41" s="136"/>
      <x:c r="M41" s="136"/>
      <x:c r="N41" s="136"/>
      <x:c r="O41" s="136"/>
      <x:c r="P41" s="136"/>
      <x:c r="Q41" s="136"/>
      <x:c r="R41" s="136"/>
      <x:c r="S41" s="136"/>
      <x:c r="T41" s="136"/>
      <x:c r="U41" s="136"/>
      <x:c r="V41" s="136"/>
      <x:c r="W41" s="136"/>
      <x:c r="X41" s="136"/>
      <x:c r="Y41" s="136"/>
      <x:c r="Z41" s="136"/>
    </x:row>
    <x:row r="42">
      <x:c r="A42" s="136" t="str">
        <x:v>12-Oct-2026 refresh</x:v>
      </x:c>
      <x:c r="B42" s="136"/>
      <x:c r="C42" s="136"/>
      <x:c r="D42" s="136"/>
      <x:c r="E42" s="136"/>
      <x:c r="F42" s="136"/>
      <x:c r="G42" s="136"/>
      <x:c r="H42" s="136"/>
      <x:c r="I42" s="136"/>
      <x:c r="J42" s="136"/>
      <x:c r="K42" s="136"/>
      <x:c r="L42" s="136"/>
      <x:c r="M42" s="136"/>
      <x:c r="N42" s="136"/>
      <x:c r="O42" s="136"/>
      <x:c r="P42" s="136"/>
      <x:c r="Q42" s="136"/>
      <x:c r="R42" s="136"/>
      <x:c r="S42" s="136"/>
      <x:c r="T42" s="136"/>
      <x:c r="U42" s="136"/>
      <x:c r="V42" s="136"/>
      <x:c r="W42" s="136"/>
      <x:c r="X42" s="136"/>
      <x:c r="Y42" s="136"/>
      <x:c r="Z42" s="136"/>
    </x:row>
    <x:row r="43" ht="58" customHeight="1">
      <x:c r="A43" s="176" t="n">
        <x:v>19</x:v>
      </x:c>
      <x:c r="B43" s="176" t="str">
        <x:v>ANP customs report through August</x:v>
      </x:c>
      <x:c r="C43" s="176" t="str">
        <x:v>143 records across NCM 27101241 and 27101249; summary isolates Braskem petrochemical naphtha</x:v>
      </x:c>
      <x:c r="D43" s="176" t="str">
        <x:v>https://www.gov.br/anp/pt-br/assuntos/importacoes-e-exportacoes/arquivos-desembaracos/desembaraco-2026.xlsx</x:v>
      </x:c>
      <x:c r="E43" s="176" t="str">
        <x:v>Monthly</x:v>
      </x:c>
      <x:c r="F43" s="136"/>
      <x:c r="G43" s="136"/>
      <x:c r="H43" s="136"/>
      <x:c r="I43" s="136"/>
      <x:c r="J43" s="136"/>
      <x:c r="K43" s="136"/>
      <x:c r="L43" s="136"/>
      <x:c r="M43" s="136"/>
      <x:c r="N43" s="136"/>
      <x:c r="O43" s="136"/>
      <x:c r="P43" s="136"/>
      <x:c r="Q43" s="136"/>
      <x:c r="R43" s="136"/>
      <x:c r="S43" s="136"/>
      <x:c r="T43" s="136"/>
      <x:c r="U43" s="136"/>
      <x:c r="V43" s="136"/>
      <x:c r="W43" s="136"/>
      <x:c r="X43" s="136"/>
      <x:c r="Y43" s="136"/>
      <x:c r="Z43" s="136"/>
    </x:row>
    <x:row r="44" ht="58" customHeight="1">
      <x:c r="A44" s="176" t="n">
        <x:v>20</x:v>
      </x:c>
      <x:c r="B44" s="176" t="str">
        <x:v>CODEBA Oct-12 current schedule</x:v>
      </x:c>
      <x:c r="C44" s="176" t="str">
        <x:v>Blooming 28kt / Baiacu 60.415kt / Pine 7.7kt anchored; Clyde 27.6kt scheduled. Cedar absent; completion unresolved.</x:v>
      </x:c>
      <x:c r="D44" s="176" t="str">
        <x:v>https://codeba.gov.br/eficiente/sites/portalcodeba/pt-br/porto_aratu.php?secao=tportos_aratu</x:v>
      </x:c>
      <x:c r="E44" s="176" t="str">
        <x:v>Near real time</x:v>
      </x:c>
      <x:c r="F44" s="136"/>
      <x:c r="G44" s="136"/>
      <x:c r="H44" s="136"/>
      <x:c r="I44" s="136"/>
      <x:c r="J44" s="136"/>
      <x:c r="K44" s="136"/>
      <x:c r="L44" s="136"/>
      <x:c r="M44" s="136"/>
      <x:c r="N44" s="136"/>
      <x:c r="O44" s="136"/>
      <x:c r="P44" s="136"/>
      <x:c r="Q44" s="136"/>
      <x:c r="R44" s="136"/>
      <x:c r="S44" s="136"/>
      <x:c r="T44" s="136"/>
      <x:c r="U44" s="136"/>
      <x:c r="V44" s="136"/>
      <x:c r="W44" s="136"/>
      <x:c r="X44" s="136"/>
      <x:c r="Y44" s="136"/>
      <x:c r="Z44" s="136"/>
    </x:row>
    <x:row r="45">
      <x:c r="A45" s="136"/>
      <x:c r="B45" s="136"/>
      <x:c r="C45" s="136"/>
      <x:c r="D45" s="136"/>
      <x:c r="E45" s="136"/>
      <x:c r="F45" s="136"/>
      <x:c r="G45" s="136"/>
      <x:c r="H45" s="136"/>
      <x:c r="I45" s="136"/>
      <x:c r="J45" s="136"/>
      <x:c r="K45" s="136"/>
      <x:c r="L45" s="136"/>
      <x:c r="M45" s="136"/>
      <x:c r="N45" s="136"/>
      <x:c r="O45" s="136"/>
      <x:c r="P45" s="136"/>
      <x:c r="Q45" s="136"/>
      <x:c r="R45" s="136"/>
      <x:c r="S45" s="136"/>
      <x:c r="T45" s="136"/>
      <x:c r="U45" s="136"/>
      <x:c r="V45" s="136"/>
      <x:c r="W45" s="136"/>
      <x:c r="X45" s="136"/>
      <x:c r="Y45" s="136"/>
      <x:c r="Z45" s="136"/>
    </x:row>
    <x:row r="46">
      <x:c r="A46" s="136"/>
      <x:c r="B46" s="136"/>
      <x:c r="C46" s="136"/>
      <x:c r="D46" s="136"/>
      <x:c r="E46" s="136"/>
      <x:c r="F46" s="136"/>
      <x:c r="G46" s="136"/>
      <x:c r="H46" s="136"/>
      <x:c r="I46" s="136"/>
      <x:c r="J46" s="136"/>
      <x:c r="K46" s="136"/>
      <x:c r="L46" s="136"/>
      <x:c r="M46" s="136"/>
      <x:c r="N46" s="136"/>
      <x:c r="O46" s="136"/>
      <x:c r="P46" s="136"/>
      <x:c r="Q46" s="136"/>
      <x:c r="R46" s="136"/>
      <x:c r="S46" s="136"/>
      <x:c r="T46" s="136"/>
      <x:c r="U46" s="136"/>
      <x:c r="V46" s="136"/>
      <x:c r="W46" s="136"/>
      <x:c r="X46" s="136"/>
      <x:c r="Y46" s="136"/>
      <x:c r="Z46" s="136"/>
    </x:row>
    <x:row r="47">
      <x:c r="A47" s="136"/>
      <x:c r="B47" s="136"/>
      <x:c r="C47" s="136"/>
      <x:c r="D47" s="136"/>
      <x:c r="E47" s="136"/>
      <x:c r="F47" s="136"/>
      <x:c r="G47" s="136"/>
      <x:c r="H47" s="136"/>
      <x:c r="I47" s="136"/>
      <x:c r="J47" s="136"/>
      <x:c r="K47" s="136"/>
      <x:c r="L47" s="136"/>
      <x:c r="M47" s="136"/>
      <x:c r="N47" s="136"/>
      <x:c r="O47" s="136"/>
      <x:c r="P47" s="136"/>
      <x:c r="Q47" s="136"/>
      <x:c r="R47" s="136"/>
      <x:c r="S47" s="136"/>
      <x:c r="T47" s="136"/>
      <x:c r="U47" s="136"/>
      <x:c r="V47" s="136"/>
      <x:c r="W47" s="136"/>
      <x:c r="X47" s="136"/>
      <x:c r="Y47" s="136"/>
      <x:c r="Z47" s="136"/>
    </x:row>
    <x:row r="48">
      <x:c r="A48" s="136"/>
      <x:c r="B48" s="136"/>
      <x:c r="C48" s="136"/>
      <x:c r="D48" s="136"/>
      <x:c r="E48" s="136"/>
      <x:c r="F48" s="136"/>
      <x:c r="G48" s="136"/>
      <x:c r="H48" s="136"/>
      <x:c r="I48" s="136"/>
      <x:c r="J48" s="136"/>
      <x:c r="K48" s="136"/>
      <x:c r="L48" s="136"/>
      <x:c r="M48" s="136"/>
      <x:c r="N48" s="136"/>
      <x:c r="O48" s="136"/>
      <x:c r="P48" s="136"/>
      <x:c r="Q48" s="136"/>
      <x:c r="R48" s="136"/>
      <x:c r="S48" s="136"/>
      <x:c r="T48" s="136"/>
      <x:c r="U48" s="136"/>
      <x:c r="V48" s="136"/>
      <x:c r="W48" s="136"/>
      <x:c r="X48" s="136"/>
      <x:c r="Y48" s="136"/>
      <x:c r="Z48" s="136"/>
    </x:row>
    <x:row r="49">
      <x:c r="A49" s="136"/>
      <x:c r="B49" s="136"/>
      <x:c r="C49" s="136"/>
      <x:c r="D49" s="136"/>
      <x:c r="E49" s="136"/>
      <x:c r="F49" s="136"/>
      <x:c r="G49" s="136"/>
      <x:c r="H49" s="136"/>
      <x:c r="I49" s="136"/>
      <x:c r="J49" s="136"/>
      <x:c r="K49" s="136"/>
      <x:c r="L49" s="136"/>
      <x:c r="M49" s="136"/>
      <x:c r="N49" s="136"/>
      <x:c r="O49" s="136"/>
      <x:c r="P49" s="136"/>
      <x:c r="Q49" s="136"/>
      <x:c r="R49" s="136"/>
      <x:c r="S49" s="136"/>
      <x:c r="T49" s="136"/>
      <x:c r="U49" s="136"/>
      <x:c r="V49" s="136"/>
      <x:c r="W49" s="136"/>
      <x:c r="X49" s="136"/>
      <x:c r="Y49" s="136"/>
      <x:c r="Z49" s="136"/>
    </x:row>
    <x:row r="50">
      <x:c r="A50" s="136"/>
      <x:c r="B50" s="136"/>
      <x:c r="C50" s="136"/>
      <x:c r="D50" s="136"/>
      <x:c r="E50" s="136"/>
      <x:c r="F50" s="136"/>
      <x:c r="G50" s="136"/>
      <x:c r="H50" s="136"/>
      <x:c r="I50" s="136"/>
      <x:c r="J50" s="136"/>
      <x:c r="K50" s="136"/>
      <x:c r="L50" s="136"/>
      <x:c r="M50" s="136"/>
      <x:c r="N50" s="136"/>
      <x:c r="O50" s="136"/>
      <x:c r="P50" s="136"/>
      <x:c r="Q50" s="136"/>
      <x:c r="R50" s="136"/>
      <x:c r="S50" s="136"/>
      <x:c r="T50" s="136"/>
      <x:c r="U50" s="136"/>
      <x:c r="V50" s="136"/>
      <x:c r="W50" s="136"/>
      <x:c r="X50" s="136"/>
      <x:c r="Y50" s="136"/>
      <x:c r="Z50" s="136"/>
    </x:row>
    <x:row r="51">
      <x:c r="A51" s="136"/>
      <x:c r="B51" s="136"/>
      <x:c r="C51" s="136"/>
      <x:c r="D51" s="136"/>
      <x:c r="E51" s="136"/>
      <x:c r="F51" s="136"/>
      <x:c r="G51" s="136"/>
      <x:c r="H51" s="136"/>
      <x:c r="I51" s="136"/>
      <x:c r="J51" s="136"/>
      <x:c r="K51" s="136"/>
      <x:c r="L51" s="136"/>
      <x:c r="M51" s="136"/>
      <x:c r="N51" s="136"/>
      <x:c r="O51" s="136"/>
      <x:c r="P51" s="136"/>
      <x:c r="Q51" s="136"/>
      <x:c r="R51" s="136"/>
      <x:c r="S51" s="136"/>
      <x:c r="T51" s="136"/>
      <x:c r="U51" s="136"/>
      <x:c r="V51" s="136"/>
      <x:c r="W51" s="136"/>
      <x:c r="X51" s="136"/>
      <x:c r="Y51" s="136"/>
      <x:c r="Z51" s="136"/>
    </x:row>
    <x:row r="52">
      <x:c r="A52" s="136"/>
      <x:c r="B52" s="136"/>
      <x:c r="C52" s="136"/>
      <x:c r="D52" s="136"/>
      <x:c r="E52" s="136"/>
      <x:c r="F52" s="136"/>
      <x:c r="G52" s="136"/>
      <x:c r="H52" s="136"/>
      <x:c r="I52" s="136"/>
      <x:c r="J52" s="136"/>
      <x:c r="K52" s="136"/>
      <x:c r="L52" s="136"/>
      <x:c r="M52" s="136"/>
      <x:c r="N52" s="136"/>
      <x:c r="O52" s="136"/>
      <x:c r="P52" s="136"/>
      <x:c r="Q52" s="136"/>
      <x:c r="R52" s="136"/>
      <x:c r="S52" s="136"/>
      <x:c r="T52" s="136"/>
      <x:c r="U52" s="136"/>
      <x:c r="V52" s="136"/>
      <x:c r="W52" s="136"/>
      <x:c r="X52" s="136"/>
      <x:c r="Y52" s="136"/>
      <x:c r="Z52" s="136"/>
    </x:row>
    <x:row r="53">
      <x:c r="A53" s="136"/>
      <x:c r="B53" s="136"/>
      <x:c r="C53" s="136"/>
      <x:c r="D53" s="136"/>
      <x:c r="E53" s="136"/>
      <x:c r="F53" s="136"/>
      <x:c r="G53" s="136"/>
      <x:c r="H53" s="136"/>
      <x:c r="I53" s="136"/>
      <x:c r="J53" s="136"/>
      <x:c r="K53" s="136"/>
      <x:c r="L53" s="136"/>
      <x:c r="M53" s="136"/>
      <x:c r="N53" s="136"/>
      <x:c r="O53" s="136"/>
      <x:c r="P53" s="136"/>
      <x:c r="Q53" s="136"/>
      <x:c r="R53" s="136"/>
      <x:c r="S53" s="136"/>
      <x:c r="T53" s="136"/>
      <x:c r="U53" s="136"/>
      <x:c r="V53" s="136"/>
      <x:c r="W53" s="136"/>
      <x:c r="X53" s="136"/>
      <x:c r="Y53" s="136"/>
      <x:c r="Z53" s="136"/>
    </x:row>
    <x:row r="54">
      <x:c r="A54" s="136"/>
      <x:c r="B54" s="136"/>
      <x:c r="C54" s="136"/>
      <x:c r="D54" s="136"/>
      <x:c r="E54" s="136"/>
      <x:c r="F54" s="136"/>
      <x:c r="G54" s="136"/>
      <x:c r="H54" s="136"/>
      <x:c r="I54" s="136"/>
      <x:c r="J54" s="136"/>
      <x:c r="K54" s="136"/>
      <x:c r="L54" s="136"/>
      <x:c r="M54" s="136"/>
      <x:c r="N54" s="136"/>
      <x:c r="O54" s="136"/>
      <x:c r="P54" s="136"/>
      <x:c r="Q54" s="136"/>
      <x:c r="R54" s="136"/>
      <x:c r="S54" s="136"/>
      <x:c r="T54" s="136"/>
      <x:c r="U54" s="136"/>
      <x:c r="V54" s="136"/>
      <x:c r="W54" s="136"/>
      <x:c r="X54" s="136"/>
      <x:c r="Y54" s="136"/>
      <x:c r="Z54" s="136"/>
    </x:row>
    <x:row r="55">
      <x:c r="A55" s="136"/>
      <x:c r="B55" s="136"/>
      <x:c r="C55" s="136"/>
      <x:c r="D55" s="136"/>
      <x:c r="E55" s="136"/>
      <x:c r="F55" s="136"/>
      <x:c r="G55" s="136"/>
      <x:c r="H55" s="136"/>
      <x:c r="I55" s="136"/>
      <x:c r="J55" s="136"/>
      <x:c r="K55" s="136"/>
      <x:c r="L55" s="136"/>
      <x:c r="M55" s="136"/>
      <x:c r="N55" s="136"/>
      <x:c r="O55" s="136"/>
      <x:c r="P55" s="136"/>
      <x:c r="Q55" s="136"/>
      <x:c r="R55" s="136"/>
      <x:c r="S55" s="136"/>
      <x:c r="T55" s="136"/>
      <x:c r="U55" s="136"/>
      <x:c r="V55" s="136"/>
      <x:c r="W55" s="136"/>
      <x:c r="X55" s="136"/>
      <x:c r="Y55" s="136"/>
      <x:c r="Z55" s="136"/>
    </x:row>
    <x:row r="56">
      <x:c r="A56" s="136"/>
      <x:c r="B56" s="136"/>
      <x:c r="C56" s="136"/>
      <x:c r="D56" s="136"/>
      <x:c r="E56" s="136"/>
      <x:c r="F56" s="136"/>
      <x:c r="G56" s="136"/>
      <x:c r="H56" s="136"/>
      <x:c r="I56" s="136"/>
      <x:c r="J56" s="136"/>
      <x:c r="K56" s="136"/>
      <x:c r="L56" s="136"/>
      <x:c r="M56" s="136"/>
      <x:c r="N56" s="136"/>
      <x:c r="O56" s="136"/>
      <x:c r="P56" s="136"/>
      <x:c r="Q56" s="136"/>
      <x:c r="R56" s="136"/>
      <x:c r="S56" s="136"/>
      <x:c r="T56" s="136"/>
      <x:c r="U56" s="136"/>
      <x:c r="V56" s="136"/>
      <x:c r="W56" s="136"/>
      <x:c r="X56" s="136"/>
      <x:c r="Y56" s="136"/>
      <x:c r="Z56" s="136"/>
    </x:row>
    <x:row r="57">
      <x:c r="A57" s="136"/>
      <x:c r="B57" s="136"/>
      <x:c r="C57" s="136"/>
      <x:c r="D57" s="136"/>
      <x:c r="E57" s="136"/>
      <x:c r="F57" s="136"/>
      <x:c r="G57" s="136"/>
      <x:c r="H57" s="136"/>
      <x:c r="I57" s="136"/>
      <x:c r="J57" s="136"/>
      <x:c r="K57" s="136"/>
      <x:c r="L57" s="136"/>
      <x:c r="M57" s="136"/>
      <x:c r="N57" s="136"/>
      <x:c r="O57" s="136"/>
      <x:c r="P57" s="136"/>
      <x:c r="Q57" s="136"/>
      <x:c r="R57" s="136"/>
      <x:c r="S57" s="136"/>
      <x:c r="T57" s="136"/>
      <x:c r="U57" s="136"/>
      <x:c r="V57" s="136"/>
      <x:c r="W57" s="136"/>
      <x:c r="X57" s="136"/>
      <x:c r="Y57" s="136"/>
      <x:c r="Z57" s="136"/>
    </x:row>
    <x:row r="58">
      <x:c r="A58" s="136"/>
      <x:c r="B58" s="136"/>
      <x:c r="C58" s="136"/>
      <x:c r="D58" s="136"/>
      <x:c r="E58" s="136"/>
      <x:c r="F58" s="136"/>
      <x:c r="G58" s="136"/>
      <x:c r="H58" s="136"/>
      <x:c r="I58" s="136"/>
      <x:c r="J58" s="136"/>
      <x:c r="K58" s="136"/>
      <x:c r="L58" s="136"/>
      <x:c r="M58" s="136"/>
      <x:c r="N58" s="136"/>
      <x:c r="O58" s="136"/>
      <x:c r="P58" s="136"/>
      <x:c r="Q58" s="136"/>
      <x:c r="R58" s="136"/>
      <x:c r="S58" s="136"/>
      <x:c r="T58" s="136"/>
      <x:c r="U58" s="136"/>
      <x:c r="V58" s="136"/>
      <x:c r="W58" s="136"/>
      <x:c r="X58" s="136"/>
      <x:c r="Y58" s="136"/>
      <x:c r="Z58" s="136"/>
    </x:row>
    <x:row r="59">
      <x:c r="A59" s="136"/>
      <x:c r="B59" s="136"/>
      <x:c r="C59" s="136"/>
      <x:c r="D59" s="136"/>
      <x:c r="E59" s="136"/>
      <x:c r="F59" s="136"/>
      <x:c r="G59" s="136"/>
      <x:c r="H59" s="136"/>
      <x:c r="I59" s="136"/>
      <x:c r="J59" s="136"/>
      <x:c r="K59" s="136"/>
      <x:c r="L59" s="136"/>
      <x:c r="M59" s="136"/>
      <x:c r="N59" s="136"/>
      <x:c r="O59" s="136"/>
      <x:c r="P59" s="136"/>
      <x:c r="Q59" s="136"/>
      <x:c r="R59" s="136"/>
      <x:c r="S59" s="136"/>
      <x:c r="T59" s="136"/>
      <x:c r="U59" s="136"/>
      <x:c r="V59" s="136"/>
      <x:c r="W59" s="136"/>
      <x:c r="X59" s="136"/>
      <x:c r="Y59" s="136"/>
      <x:c r="Z59" s="136"/>
    </x:row>
    <x:row r="60">
      <x:c r="A60" s="136"/>
      <x:c r="B60" s="136"/>
      <x:c r="C60" s="136"/>
      <x:c r="D60" s="136"/>
      <x:c r="E60" s="136"/>
      <x:c r="F60" s="136"/>
      <x:c r="G60" s="136"/>
      <x:c r="H60" s="136"/>
      <x:c r="I60" s="136"/>
      <x:c r="J60" s="136"/>
      <x:c r="K60" s="136"/>
      <x:c r="L60" s="136"/>
      <x:c r="M60" s="136"/>
      <x:c r="N60" s="136"/>
      <x:c r="O60" s="136"/>
      <x:c r="P60" s="136"/>
      <x:c r="Q60" s="136"/>
      <x:c r="R60" s="136"/>
      <x:c r="S60" s="136"/>
      <x:c r="T60" s="136"/>
      <x:c r="U60" s="136"/>
      <x:c r="V60" s="136"/>
      <x:c r="W60" s="136"/>
      <x:c r="X60" s="136"/>
      <x:c r="Y60" s="136"/>
      <x:c r="Z60" s="136"/>
    </x:row>
    <x:row r="61">
      <x:c r="A61" s="136"/>
      <x:c r="B61" s="136"/>
      <x:c r="C61" s="136"/>
      <x:c r="D61" s="136"/>
      <x:c r="E61" s="136"/>
      <x:c r="F61" s="136"/>
      <x:c r="G61" s="136"/>
      <x:c r="H61" s="136"/>
      <x:c r="I61" s="136"/>
      <x:c r="J61" s="136"/>
      <x:c r="K61" s="136"/>
      <x:c r="L61" s="136"/>
      <x:c r="M61" s="136"/>
      <x:c r="N61" s="136"/>
      <x:c r="O61" s="136"/>
      <x:c r="P61" s="136"/>
      <x:c r="Q61" s="136"/>
      <x:c r="R61" s="136"/>
      <x:c r="S61" s="136"/>
      <x:c r="T61" s="136"/>
      <x:c r="U61" s="136"/>
      <x:c r="V61" s="136"/>
      <x:c r="W61" s="136"/>
      <x:c r="X61" s="136"/>
      <x:c r="Y61" s="136"/>
      <x:c r="Z61" s="136"/>
    </x:row>
    <x:row r="62">
      <x:c r="A62" s="136"/>
      <x:c r="B62" s="136"/>
      <x:c r="C62" s="136"/>
      <x:c r="D62" s="136"/>
      <x:c r="E62" s="136"/>
      <x:c r="F62" s="136"/>
      <x:c r="G62" s="136"/>
      <x:c r="H62" s="136"/>
      <x:c r="I62" s="136"/>
      <x:c r="J62" s="136"/>
      <x:c r="K62" s="136"/>
      <x:c r="L62" s="136"/>
      <x:c r="M62" s="136"/>
      <x:c r="N62" s="136"/>
      <x:c r="O62" s="136"/>
      <x:c r="P62" s="136"/>
      <x:c r="Q62" s="136"/>
      <x:c r="R62" s="136"/>
      <x:c r="S62" s="136"/>
      <x:c r="T62" s="136"/>
      <x:c r="U62" s="136"/>
      <x:c r="V62" s="136"/>
      <x:c r="W62" s="136"/>
      <x:c r="X62" s="136"/>
      <x:c r="Y62" s="136"/>
      <x:c r="Z62" s="136"/>
    </x:row>
    <x:row r="63">
      <x:c r="A63" s="136"/>
      <x:c r="B63" s="136"/>
      <x:c r="C63" s="136"/>
      <x:c r="D63" s="136"/>
      <x:c r="E63" s="136"/>
      <x:c r="F63" s="136"/>
      <x:c r="G63" s="136"/>
      <x:c r="H63" s="136"/>
      <x:c r="I63" s="136"/>
      <x:c r="J63" s="136"/>
      <x:c r="K63" s="136"/>
      <x:c r="L63" s="136"/>
      <x:c r="M63" s="136"/>
      <x:c r="N63" s="136"/>
      <x:c r="O63" s="136"/>
      <x:c r="P63" s="136"/>
      <x:c r="Q63" s="136"/>
      <x:c r="R63" s="136"/>
      <x:c r="S63" s="136"/>
      <x:c r="T63" s="136"/>
      <x:c r="U63" s="136"/>
      <x:c r="V63" s="136"/>
      <x:c r="W63" s="136"/>
      <x:c r="X63" s="136"/>
      <x:c r="Y63" s="136"/>
      <x:c r="Z63" s="136"/>
    </x:row>
    <x:row r="64">
      <x:c r="A64" s="136"/>
      <x:c r="B64" s="136"/>
      <x:c r="C64" s="136"/>
      <x:c r="D64" s="136"/>
      <x:c r="E64" s="136"/>
      <x:c r="F64" s="136"/>
      <x:c r="G64" s="136"/>
      <x:c r="H64" s="136"/>
      <x:c r="I64" s="136"/>
      <x:c r="J64" s="136"/>
      <x:c r="K64" s="136"/>
      <x:c r="L64" s="136"/>
      <x:c r="M64" s="136"/>
      <x:c r="N64" s="136"/>
      <x:c r="O64" s="136"/>
      <x:c r="P64" s="136"/>
      <x:c r="Q64" s="136"/>
      <x:c r="R64" s="136"/>
      <x:c r="S64" s="136"/>
      <x:c r="T64" s="136"/>
      <x:c r="U64" s="136"/>
      <x:c r="V64" s="136"/>
      <x:c r="W64" s="136"/>
      <x:c r="X64" s="136"/>
      <x:c r="Y64" s="136"/>
      <x:c r="Z64" s="136"/>
    </x:row>
    <x:row r="65">
      <x:c r="A65" s="136"/>
      <x:c r="B65" s="136"/>
      <x:c r="C65" s="136"/>
      <x:c r="D65" s="136"/>
      <x:c r="E65" s="136"/>
      <x:c r="F65" s="136"/>
      <x:c r="G65" s="136"/>
      <x:c r="H65" s="136"/>
      <x:c r="I65" s="136"/>
      <x:c r="J65" s="136"/>
      <x:c r="K65" s="136"/>
      <x:c r="L65" s="136"/>
      <x:c r="M65" s="136"/>
      <x:c r="N65" s="136"/>
      <x:c r="O65" s="136"/>
      <x:c r="P65" s="136"/>
      <x:c r="Q65" s="136"/>
      <x:c r="R65" s="136"/>
      <x:c r="S65" s="136"/>
      <x:c r="T65" s="136"/>
      <x:c r="U65" s="136"/>
      <x:c r="V65" s="136"/>
      <x:c r="W65" s="136"/>
      <x:c r="X65" s="136"/>
      <x:c r="Y65" s="136"/>
      <x:c r="Z65" s="136"/>
    </x:row>
    <x:row r="66">
      <x:c r="A66" s="136"/>
      <x:c r="B66" s="136"/>
      <x:c r="C66" s="136"/>
      <x:c r="D66" s="136"/>
      <x:c r="E66" s="136"/>
      <x:c r="F66" s="136"/>
      <x:c r="G66" s="136"/>
      <x:c r="H66" s="136"/>
      <x:c r="I66" s="136"/>
      <x:c r="J66" s="136"/>
      <x:c r="K66" s="136"/>
      <x:c r="L66" s="136"/>
      <x:c r="M66" s="136"/>
      <x:c r="N66" s="136"/>
      <x:c r="O66" s="136"/>
      <x:c r="P66" s="136"/>
      <x:c r="Q66" s="136"/>
      <x:c r="R66" s="136"/>
      <x:c r="S66" s="136"/>
      <x:c r="T66" s="136"/>
      <x:c r="U66" s="136"/>
      <x:c r="V66" s="136"/>
      <x:c r="W66" s="136"/>
      <x:c r="X66" s="136"/>
      <x:c r="Y66" s="136"/>
      <x:c r="Z66" s="136"/>
    </x:row>
    <x:row r="67">
      <x:c r="A67" s="136"/>
      <x:c r="B67" s="136"/>
      <x:c r="C67" s="136"/>
      <x:c r="D67" s="136"/>
      <x:c r="E67" s="136"/>
      <x:c r="F67" s="136"/>
      <x:c r="G67" s="136"/>
      <x:c r="H67" s="136"/>
      <x:c r="I67" s="136"/>
      <x:c r="J67" s="136"/>
      <x:c r="K67" s="136"/>
      <x:c r="L67" s="136"/>
      <x:c r="M67" s="136"/>
      <x:c r="N67" s="136"/>
      <x:c r="O67" s="136"/>
      <x:c r="P67" s="136"/>
      <x:c r="Q67" s="136"/>
      <x:c r="R67" s="136"/>
      <x:c r="S67" s="136"/>
      <x:c r="T67" s="136"/>
      <x:c r="U67" s="136"/>
      <x:c r="V67" s="136"/>
      <x:c r="W67" s="136"/>
      <x:c r="X67" s="136"/>
      <x:c r="Y67" s="136"/>
      <x:c r="Z67" s="136"/>
    </x:row>
    <x:row r="68">
      <x:c r="A68" s="136"/>
      <x:c r="B68" s="136"/>
      <x:c r="C68" s="136"/>
      <x:c r="D68" s="136"/>
      <x:c r="E68" s="136"/>
      <x:c r="F68" s="136"/>
      <x:c r="G68" s="136"/>
      <x:c r="H68" s="136"/>
      <x:c r="I68" s="136"/>
      <x:c r="J68" s="136"/>
      <x:c r="K68" s="136"/>
      <x:c r="L68" s="136"/>
      <x:c r="M68" s="136"/>
      <x:c r="N68" s="136"/>
      <x:c r="O68" s="136"/>
      <x:c r="P68" s="136"/>
      <x:c r="Q68" s="136"/>
      <x:c r="R68" s="136"/>
      <x:c r="S68" s="136"/>
      <x:c r="T68" s="136"/>
      <x:c r="U68" s="136"/>
      <x:c r="V68" s="136"/>
      <x:c r="W68" s="136"/>
      <x:c r="X68" s="136"/>
      <x:c r="Y68" s="136"/>
      <x:c r="Z68" s="136"/>
    </x:row>
    <x:row r="69">
      <x:c r="A69" s="136"/>
      <x:c r="B69" s="136"/>
      <x:c r="C69" s="136"/>
      <x:c r="D69" s="136"/>
      <x:c r="E69" s="136"/>
      <x:c r="F69" s="136"/>
      <x:c r="G69" s="136"/>
      <x:c r="H69" s="136"/>
      <x:c r="I69" s="136"/>
      <x:c r="J69" s="136"/>
      <x:c r="K69" s="136"/>
      <x:c r="L69" s="136"/>
      <x:c r="M69" s="136"/>
      <x:c r="N69" s="136"/>
      <x:c r="O69" s="136"/>
      <x:c r="P69" s="136"/>
      <x:c r="Q69" s="136"/>
      <x:c r="R69" s="136"/>
      <x:c r="S69" s="136"/>
      <x:c r="T69" s="136"/>
      <x:c r="U69" s="136"/>
      <x:c r="V69" s="136"/>
      <x:c r="W69" s="136"/>
      <x:c r="X69" s="136"/>
      <x:c r="Y69" s="136"/>
      <x:c r="Z69" s="136"/>
    </x:row>
    <x:row r="70">
      <x:c r="A70" s="136"/>
      <x:c r="B70" s="136"/>
      <x:c r="C70" s="136"/>
      <x:c r="D70" s="136"/>
      <x:c r="E70" s="136"/>
      <x:c r="F70" s="136"/>
      <x:c r="G70" s="136"/>
      <x:c r="H70" s="136"/>
      <x:c r="I70" s="136"/>
      <x:c r="J70" s="136"/>
      <x:c r="K70" s="136"/>
      <x:c r="L70" s="136"/>
      <x:c r="M70" s="136"/>
      <x:c r="N70" s="136"/>
      <x:c r="O70" s="136"/>
      <x:c r="P70" s="136"/>
      <x:c r="Q70" s="136"/>
      <x:c r="R70" s="136"/>
      <x:c r="S70" s="136"/>
      <x:c r="T70" s="136"/>
      <x:c r="U70" s="136"/>
      <x:c r="V70" s="136"/>
      <x:c r="W70" s="136"/>
      <x:c r="X70" s="136"/>
      <x:c r="Y70" s="136"/>
      <x:c r="Z70" s="136"/>
    </x:row>
    <x:row r="71">
      <x:c r="A71" s="136"/>
      <x:c r="B71" s="136"/>
      <x:c r="C71" s="136"/>
      <x:c r="D71" s="136"/>
      <x:c r="E71" s="136"/>
      <x:c r="F71" s="136"/>
      <x:c r="G71" s="136"/>
      <x:c r="H71" s="136"/>
      <x:c r="I71" s="136"/>
      <x:c r="J71" s="136"/>
      <x:c r="K71" s="136"/>
      <x:c r="L71" s="136"/>
      <x:c r="M71" s="136"/>
      <x:c r="N71" s="136"/>
      <x:c r="O71" s="136"/>
      <x:c r="P71" s="136"/>
      <x:c r="Q71" s="136"/>
      <x:c r="R71" s="136"/>
      <x:c r="S71" s="136"/>
      <x:c r="T71" s="136"/>
      <x:c r="U71" s="136"/>
      <x:c r="V71" s="136"/>
      <x:c r="W71" s="136"/>
      <x:c r="X71" s="136"/>
      <x:c r="Y71" s="136"/>
      <x:c r="Z71" s="136"/>
    </x:row>
    <x:row r="72">
      <x:c r="A72" s="136"/>
      <x:c r="B72" s="136"/>
      <x:c r="C72" s="136"/>
      <x:c r="D72" s="136"/>
      <x:c r="E72" s="136"/>
      <x:c r="F72" s="136"/>
      <x:c r="G72" s="136"/>
      <x:c r="H72" s="136"/>
      <x:c r="I72" s="136"/>
      <x:c r="J72" s="136"/>
      <x:c r="K72" s="136"/>
      <x:c r="L72" s="136"/>
      <x:c r="M72" s="136"/>
      <x:c r="N72" s="136"/>
      <x:c r="O72" s="136"/>
      <x:c r="P72" s="136"/>
      <x:c r="Q72" s="136"/>
      <x:c r="R72" s="136"/>
      <x:c r="S72" s="136"/>
      <x:c r="T72" s="136"/>
      <x:c r="U72" s="136"/>
      <x:c r="V72" s="136"/>
      <x:c r="W72" s="136"/>
      <x:c r="X72" s="136"/>
      <x:c r="Y72" s="136"/>
      <x:c r="Z72" s="136"/>
    </x:row>
    <x:row r="73">
      <x:c r="A73" s="136"/>
      <x:c r="B73" s="136"/>
      <x:c r="C73" s="136"/>
      <x:c r="D73" s="136"/>
      <x:c r="E73" s="136"/>
      <x:c r="F73" s="136"/>
      <x:c r="G73" s="136"/>
      <x:c r="H73" s="136"/>
      <x:c r="I73" s="136"/>
      <x:c r="J73" s="136"/>
      <x:c r="K73" s="136"/>
      <x:c r="L73" s="136"/>
      <x:c r="M73" s="136"/>
      <x:c r="N73" s="136"/>
      <x:c r="O73" s="136"/>
      <x:c r="P73" s="136"/>
      <x:c r="Q73" s="136"/>
      <x:c r="R73" s="136"/>
      <x:c r="S73" s="136"/>
      <x:c r="T73" s="136"/>
      <x:c r="U73" s="136"/>
      <x:c r="V73" s="136"/>
      <x:c r="W73" s="136"/>
      <x:c r="X73" s="136"/>
      <x:c r="Y73" s="136"/>
      <x:c r="Z73" s="136"/>
    </x:row>
    <x:row r="74">
      <x:c r="A74" s="136"/>
      <x:c r="B74" s="136"/>
      <x:c r="C74" s="136"/>
      <x:c r="D74" s="136"/>
      <x:c r="E74" s="136"/>
      <x:c r="F74" s="136"/>
      <x:c r="G74" s="136"/>
      <x:c r="H74" s="136"/>
      <x:c r="I74" s="136"/>
      <x:c r="J74" s="136"/>
      <x:c r="K74" s="136"/>
      <x:c r="L74" s="136"/>
      <x:c r="M74" s="136"/>
      <x:c r="N74" s="136"/>
      <x:c r="O74" s="136"/>
      <x:c r="P74" s="136"/>
      <x:c r="Q74" s="136"/>
      <x:c r="R74" s="136"/>
      <x:c r="S74" s="136"/>
      <x:c r="T74" s="136"/>
      <x:c r="U74" s="136"/>
      <x:c r="V74" s="136"/>
      <x:c r="W74" s="136"/>
      <x:c r="X74" s="136"/>
      <x:c r="Y74" s="136"/>
      <x:c r="Z74" s="136"/>
    </x:row>
    <x:row r="75">
      <x:c r="A75" s="136"/>
      <x:c r="B75" s="136"/>
      <x:c r="C75" s="136"/>
      <x:c r="D75" s="136"/>
      <x:c r="E75" s="136"/>
      <x:c r="F75" s="136"/>
      <x:c r="G75" s="136"/>
      <x:c r="H75" s="136"/>
      <x:c r="I75" s="136"/>
      <x:c r="J75" s="136"/>
      <x:c r="K75" s="136"/>
      <x:c r="L75" s="136"/>
      <x:c r="M75" s="136"/>
      <x:c r="N75" s="136"/>
      <x:c r="O75" s="136"/>
      <x:c r="P75" s="136"/>
      <x:c r="Q75" s="136"/>
      <x:c r="R75" s="136"/>
      <x:c r="S75" s="136"/>
      <x:c r="T75" s="136"/>
      <x:c r="U75" s="136"/>
      <x:c r="V75" s="136"/>
      <x:c r="W75" s="136"/>
      <x:c r="X75" s="136"/>
      <x:c r="Y75" s="136"/>
      <x:c r="Z75" s="136"/>
    </x:row>
    <x:row r="76">
      <x:c r="A76" s="136"/>
      <x:c r="B76" s="136"/>
      <x:c r="C76" s="136"/>
      <x:c r="D76" s="136"/>
      <x:c r="E76" s="136"/>
      <x:c r="F76" s="136"/>
      <x:c r="G76" s="136"/>
      <x:c r="H76" s="136"/>
      <x:c r="I76" s="136"/>
      <x:c r="J76" s="136"/>
      <x:c r="K76" s="136"/>
      <x:c r="L76" s="136"/>
      <x:c r="M76" s="136"/>
      <x:c r="N76" s="136"/>
      <x:c r="O76" s="136"/>
      <x:c r="P76" s="136"/>
      <x:c r="Q76" s="136"/>
      <x:c r="R76" s="136"/>
      <x:c r="S76" s="136"/>
      <x:c r="T76" s="136"/>
      <x:c r="U76" s="136"/>
      <x:c r="V76" s="136"/>
      <x:c r="W76" s="136"/>
      <x:c r="X76" s="136"/>
      <x:c r="Y76" s="136"/>
      <x:c r="Z76" s="136"/>
    </x:row>
    <x:row r="77">
      <x:c r="A77" s="136"/>
      <x:c r="B77" s="136"/>
      <x:c r="C77" s="136"/>
      <x:c r="D77" s="136"/>
      <x:c r="E77" s="136"/>
      <x:c r="F77" s="136"/>
      <x:c r="G77" s="136"/>
      <x:c r="H77" s="136"/>
      <x:c r="I77" s="136"/>
      <x:c r="J77" s="136"/>
      <x:c r="K77" s="136"/>
      <x:c r="L77" s="136"/>
      <x:c r="M77" s="136"/>
      <x:c r="N77" s="136"/>
      <x:c r="O77" s="136"/>
      <x:c r="P77" s="136"/>
      <x:c r="Q77" s="136"/>
      <x:c r="R77" s="136"/>
      <x:c r="S77" s="136"/>
      <x:c r="T77" s="136"/>
      <x:c r="U77" s="136"/>
      <x:c r="V77" s="136"/>
      <x:c r="W77" s="136"/>
      <x:c r="X77" s="136"/>
      <x:c r="Y77" s="136"/>
      <x:c r="Z77" s="136"/>
    </x:row>
    <x:row r="78">
      <x:c r="A78" s="136"/>
      <x:c r="B78" s="136"/>
      <x:c r="C78" s="136"/>
      <x:c r="D78" s="136"/>
      <x:c r="E78" s="136"/>
      <x:c r="F78" s="136"/>
      <x:c r="G78" s="136"/>
      <x:c r="H78" s="136"/>
      <x:c r="I78" s="136"/>
      <x:c r="J78" s="136"/>
      <x:c r="K78" s="136"/>
      <x:c r="L78" s="136"/>
      <x:c r="M78" s="136"/>
      <x:c r="N78" s="136"/>
      <x:c r="O78" s="136"/>
      <x:c r="P78" s="136"/>
      <x:c r="Q78" s="136"/>
      <x:c r="R78" s="136"/>
      <x:c r="S78" s="136"/>
      <x:c r="T78" s="136"/>
      <x:c r="U78" s="136"/>
      <x:c r="V78" s="136"/>
      <x:c r="W78" s="136"/>
      <x:c r="X78" s="136"/>
      <x:c r="Y78" s="136"/>
      <x:c r="Z78" s="136"/>
    </x:row>
    <x:row r="79">
      <x:c r="A79" s="136"/>
      <x:c r="B79" s="136"/>
      <x:c r="C79" s="136"/>
      <x:c r="D79" s="136"/>
      <x:c r="E79" s="136"/>
      <x:c r="F79" s="136"/>
      <x:c r="G79" s="136"/>
      <x:c r="H79" s="136"/>
      <x:c r="I79" s="136"/>
      <x:c r="J79" s="136"/>
      <x:c r="K79" s="136"/>
      <x:c r="L79" s="136"/>
      <x:c r="M79" s="136"/>
      <x:c r="N79" s="136"/>
      <x:c r="O79" s="136"/>
      <x:c r="P79" s="136"/>
      <x:c r="Q79" s="136"/>
      <x:c r="R79" s="136"/>
      <x:c r="S79" s="136"/>
      <x:c r="T79" s="136"/>
      <x:c r="U79" s="136"/>
      <x:c r="V79" s="136"/>
      <x:c r="W79" s="136"/>
      <x:c r="X79" s="136"/>
      <x:c r="Y79" s="136"/>
      <x:c r="Z79" s="136"/>
    </x:row>
    <x:row r="80">
      <x:c r="A80" s="136"/>
      <x:c r="B80" s="136"/>
      <x:c r="C80" s="136"/>
      <x:c r="D80" s="136"/>
      <x:c r="E80" s="136"/>
      <x:c r="F80" s="136"/>
      <x:c r="G80" s="136"/>
      <x:c r="H80" s="136"/>
      <x:c r="I80" s="136"/>
      <x:c r="J80" s="136"/>
      <x:c r="K80" s="136"/>
      <x:c r="L80" s="136"/>
      <x:c r="M80" s="136"/>
      <x:c r="N80" s="136"/>
      <x:c r="O80" s="136"/>
      <x:c r="P80" s="136"/>
      <x:c r="Q80" s="136"/>
      <x:c r="R80" s="136"/>
      <x:c r="S80" s="136"/>
      <x:c r="T80" s="136"/>
      <x:c r="U80" s="136"/>
      <x:c r="V80" s="136"/>
      <x:c r="W80" s="136"/>
      <x:c r="X80" s="136"/>
      <x:c r="Y80" s="136"/>
      <x:c r="Z80" s="136"/>
    </x:row>
    <x:row r="81">
      <x:c r="A81" s="136"/>
      <x:c r="B81" s="136"/>
      <x:c r="C81" s="136"/>
      <x:c r="D81" s="136"/>
      <x:c r="E81" s="136"/>
      <x:c r="F81" s="136"/>
      <x:c r="G81" s="136"/>
      <x:c r="H81" s="136"/>
      <x:c r="I81" s="136"/>
      <x:c r="J81" s="136"/>
      <x:c r="K81" s="136"/>
      <x:c r="L81" s="136"/>
      <x:c r="M81" s="136"/>
      <x:c r="N81" s="136"/>
      <x:c r="O81" s="136"/>
      <x:c r="P81" s="136"/>
      <x:c r="Q81" s="136"/>
      <x:c r="R81" s="136"/>
      <x:c r="S81" s="136"/>
      <x:c r="T81" s="136"/>
      <x:c r="U81" s="136"/>
      <x:c r="V81" s="136"/>
      <x:c r="W81" s="136"/>
      <x:c r="X81" s="136"/>
      <x:c r="Y81" s="136"/>
      <x:c r="Z81" s="136"/>
    </x:row>
    <x:row r="82">
      <x:c r="A82" s="136"/>
      <x:c r="B82" s="136"/>
      <x:c r="C82" s="136"/>
      <x:c r="D82" s="136"/>
      <x:c r="E82" s="136"/>
      <x:c r="F82" s="136"/>
      <x:c r="G82" s="136"/>
      <x:c r="H82" s="136"/>
      <x:c r="I82" s="136"/>
      <x:c r="J82" s="136"/>
      <x:c r="K82" s="136"/>
      <x:c r="L82" s="136"/>
      <x:c r="M82" s="136"/>
      <x:c r="N82" s="136"/>
      <x:c r="O82" s="136"/>
      <x:c r="P82" s="136"/>
      <x:c r="Q82" s="136"/>
      <x:c r="R82" s="136"/>
      <x:c r="S82" s="136"/>
      <x:c r="T82" s="136"/>
      <x:c r="U82" s="136"/>
      <x:c r="V82" s="136"/>
      <x:c r="W82" s="136"/>
      <x:c r="X82" s="136"/>
      <x:c r="Y82" s="136"/>
      <x:c r="Z82" s="136"/>
    </x:row>
    <x:row r="83">
      <x:c r="A83" s="136"/>
      <x:c r="B83" s="136"/>
      <x:c r="C83" s="136"/>
      <x:c r="D83" s="136"/>
      <x:c r="E83" s="136"/>
      <x:c r="F83" s="136"/>
      <x:c r="G83" s="136"/>
      <x:c r="H83" s="136"/>
      <x:c r="I83" s="136"/>
      <x:c r="J83" s="136"/>
      <x:c r="K83" s="136"/>
      <x:c r="L83" s="136"/>
      <x:c r="M83" s="136"/>
      <x:c r="N83" s="136"/>
      <x:c r="O83" s="136"/>
      <x:c r="P83" s="136"/>
      <x:c r="Q83" s="136"/>
      <x:c r="R83" s="136"/>
      <x:c r="S83" s="136"/>
      <x:c r="T83" s="136"/>
      <x:c r="U83" s="136"/>
      <x:c r="V83" s="136"/>
      <x:c r="W83" s="136"/>
      <x:c r="X83" s="136"/>
      <x:c r="Y83" s="136"/>
      <x:c r="Z83" s="136"/>
    </x:row>
    <x:row r="84">
      <x:c r="A84" s="136"/>
      <x:c r="B84" s="136"/>
      <x:c r="C84" s="136"/>
      <x:c r="D84" s="136"/>
      <x:c r="E84" s="136"/>
      <x:c r="F84" s="136"/>
      <x:c r="G84" s="136"/>
      <x:c r="H84" s="136"/>
      <x:c r="I84" s="136"/>
      <x:c r="J84" s="136"/>
      <x:c r="K84" s="136"/>
      <x:c r="L84" s="136"/>
      <x:c r="M84" s="136"/>
      <x:c r="N84" s="136"/>
      <x:c r="O84" s="136"/>
      <x:c r="P84" s="136"/>
      <x:c r="Q84" s="136"/>
      <x:c r="R84" s="136"/>
      <x:c r="S84" s="136"/>
      <x:c r="T84" s="136"/>
      <x:c r="U84" s="136"/>
      <x:c r="V84" s="136"/>
      <x:c r="W84" s="136"/>
      <x:c r="X84" s="136"/>
      <x:c r="Y84" s="136"/>
      <x:c r="Z84" s="136"/>
    </x:row>
    <x:row r="85">
      <x:c r="A85" s="136"/>
      <x:c r="B85" s="136"/>
      <x:c r="C85" s="136"/>
      <x:c r="D85" s="136"/>
      <x:c r="E85" s="136"/>
      <x:c r="F85" s="136"/>
      <x:c r="G85" s="136"/>
      <x:c r="H85" s="136"/>
      <x:c r="I85" s="136"/>
      <x:c r="J85" s="136"/>
      <x:c r="K85" s="136"/>
      <x:c r="L85" s="136"/>
      <x:c r="M85" s="136"/>
      <x:c r="N85" s="136"/>
      <x:c r="O85" s="136"/>
      <x:c r="P85" s="136"/>
      <x:c r="Q85" s="136"/>
      <x:c r="R85" s="136"/>
      <x:c r="S85" s="136"/>
      <x:c r="T85" s="136"/>
      <x:c r="U85" s="136"/>
      <x:c r="V85" s="136"/>
      <x:c r="W85" s="136"/>
      <x:c r="X85" s="136"/>
      <x:c r="Y85" s="136"/>
      <x:c r="Z85" s="136"/>
    </x:row>
    <x:row r="86">
      <x:c r="A86" s="136"/>
      <x:c r="B86" s="136"/>
      <x:c r="C86" s="136"/>
      <x:c r="D86" s="136"/>
      <x:c r="E86" s="136"/>
      <x:c r="F86" s="136"/>
      <x:c r="G86" s="136"/>
      <x:c r="H86" s="136"/>
      <x:c r="I86" s="136"/>
      <x:c r="J86" s="136"/>
      <x:c r="K86" s="136"/>
      <x:c r="L86" s="136"/>
      <x:c r="M86" s="136"/>
      <x:c r="N86" s="136"/>
      <x:c r="O86" s="136"/>
      <x:c r="P86" s="136"/>
      <x:c r="Q86" s="136"/>
      <x:c r="R86" s="136"/>
      <x:c r="S86" s="136"/>
      <x:c r="T86" s="136"/>
      <x:c r="U86" s="136"/>
      <x:c r="V86" s="136"/>
      <x:c r="W86" s="136"/>
      <x:c r="X86" s="136"/>
      <x:c r="Y86" s="136"/>
      <x:c r="Z86" s="136"/>
    </x:row>
    <x:row r="87">
      <x:c r="A87" s="136"/>
      <x:c r="B87" s="136"/>
      <x:c r="C87" s="136"/>
      <x:c r="D87" s="136"/>
      <x:c r="E87" s="136"/>
      <x:c r="F87" s="136"/>
      <x:c r="G87" s="136"/>
      <x:c r="H87" s="136"/>
      <x:c r="I87" s="136"/>
      <x:c r="J87" s="136"/>
      <x:c r="K87" s="136"/>
      <x:c r="L87" s="136"/>
      <x:c r="M87" s="136"/>
      <x:c r="N87" s="136"/>
      <x:c r="O87" s="136"/>
      <x:c r="P87" s="136"/>
      <x:c r="Q87" s="136"/>
      <x:c r="R87" s="136"/>
      <x:c r="S87" s="136"/>
      <x:c r="T87" s="136"/>
      <x:c r="U87" s="136"/>
      <x:c r="V87" s="136"/>
      <x:c r="W87" s="136"/>
      <x:c r="X87" s="136"/>
      <x:c r="Y87" s="136"/>
      <x:c r="Z87" s="136"/>
    </x:row>
    <x:row r="88">
      <x:c r="A88" s="136"/>
      <x:c r="B88" s="136"/>
      <x:c r="C88" s="136"/>
      <x:c r="D88" s="136"/>
      <x:c r="E88" s="136"/>
      <x:c r="F88" s="136"/>
      <x:c r="G88" s="136"/>
      <x:c r="H88" s="136"/>
      <x:c r="I88" s="136"/>
      <x:c r="J88" s="136"/>
      <x:c r="K88" s="136"/>
      <x:c r="L88" s="136"/>
      <x:c r="M88" s="136"/>
      <x:c r="N88" s="136"/>
      <x:c r="O88" s="136"/>
      <x:c r="P88" s="136"/>
      <x:c r="Q88" s="136"/>
      <x:c r="R88" s="136"/>
      <x:c r="S88" s="136"/>
      <x:c r="T88" s="136"/>
      <x:c r="U88" s="136"/>
      <x:c r="V88" s="136"/>
      <x:c r="W88" s="136"/>
      <x:c r="X88" s="136"/>
      <x:c r="Y88" s="136"/>
      <x:c r="Z88" s="136"/>
    </x:row>
    <x:row r="89">
      <x:c r="A89" s="136"/>
      <x:c r="B89" s="136"/>
      <x:c r="C89" s="136"/>
      <x:c r="D89" s="136"/>
      <x:c r="E89" s="136"/>
      <x:c r="F89" s="136"/>
      <x:c r="G89" s="136"/>
      <x:c r="H89" s="136"/>
      <x:c r="I89" s="136"/>
      <x:c r="J89" s="136"/>
      <x:c r="K89" s="136"/>
      <x:c r="L89" s="136"/>
      <x:c r="M89" s="136"/>
      <x:c r="N89" s="136"/>
      <x:c r="O89" s="136"/>
      <x:c r="P89" s="136"/>
      <x:c r="Q89" s="136"/>
      <x:c r="R89" s="136"/>
      <x:c r="S89" s="136"/>
      <x:c r="T89" s="136"/>
      <x:c r="U89" s="136"/>
      <x:c r="V89" s="136"/>
      <x:c r="W89" s="136"/>
      <x:c r="X89" s="136"/>
      <x:c r="Y89" s="136"/>
      <x:c r="Z89" s="136"/>
    </x:row>
    <x:row r="90">
      <x:c r="A90" s="136"/>
      <x:c r="B90" s="136"/>
      <x:c r="C90" s="136"/>
      <x:c r="D90" s="136"/>
      <x:c r="E90" s="136"/>
      <x:c r="F90" s="136"/>
      <x:c r="G90" s="136"/>
      <x:c r="H90" s="136"/>
      <x:c r="I90" s="136"/>
      <x:c r="J90" s="136"/>
      <x:c r="K90" s="136"/>
      <x:c r="L90" s="136"/>
      <x:c r="M90" s="136"/>
      <x:c r="N90" s="136"/>
      <x:c r="O90" s="136"/>
      <x:c r="P90" s="136"/>
      <x:c r="Q90" s="136"/>
      <x:c r="R90" s="136"/>
      <x:c r="S90" s="136"/>
      <x:c r="T90" s="136"/>
      <x:c r="U90" s="136"/>
      <x:c r="V90" s="136"/>
      <x:c r="W90" s="136"/>
      <x:c r="X90" s="136"/>
      <x:c r="Y90" s="136"/>
      <x:c r="Z90" s="136"/>
    </x:row>
    <x:row r="91">
      <x:c r="A91" s="136"/>
      <x:c r="B91" s="136"/>
      <x:c r="C91" s="136"/>
      <x:c r="D91" s="136"/>
      <x:c r="E91" s="136"/>
      <x:c r="F91" s="136"/>
      <x:c r="G91" s="136"/>
      <x:c r="H91" s="136"/>
      <x:c r="I91" s="136"/>
      <x:c r="J91" s="136"/>
      <x:c r="K91" s="136"/>
      <x:c r="L91" s="136"/>
      <x:c r="M91" s="136"/>
      <x:c r="N91" s="136"/>
      <x:c r="O91" s="136"/>
      <x:c r="P91" s="136"/>
      <x:c r="Q91" s="136"/>
      <x:c r="R91" s="136"/>
      <x:c r="S91" s="136"/>
      <x:c r="T91" s="136"/>
      <x:c r="U91" s="136"/>
      <x:c r="V91" s="136"/>
      <x:c r="W91" s="136"/>
      <x:c r="X91" s="136"/>
      <x:c r="Y91" s="136"/>
      <x:c r="Z91" s="136"/>
    </x:row>
    <x:row r="92">
      <x:c r="A92" s="136"/>
      <x:c r="B92" s="136"/>
      <x:c r="C92" s="136"/>
      <x:c r="D92" s="136"/>
      <x:c r="E92" s="136"/>
      <x:c r="F92" s="136"/>
      <x:c r="G92" s="136"/>
      <x:c r="H92" s="136"/>
      <x:c r="I92" s="136"/>
      <x:c r="J92" s="136"/>
      <x:c r="K92" s="136"/>
      <x:c r="L92" s="136"/>
      <x:c r="M92" s="136"/>
      <x:c r="N92" s="136"/>
      <x:c r="O92" s="136"/>
      <x:c r="P92" s="136"/>
      <x:c r="Q92" s="136"/>
      <x:c r="R92" s="136"/>
      <x:c r="S92" s="136"/>
      <x:c r="T92" s="136"/>
      <x:c r="U92" s="136"/>
      <x:c r="V92" s="136"/>
      <x:c r="W92" s="136"/>
      <x:c r="X92" s="136"/>
      <x:c r="Y92" s="136"/>
      <x:c r="Z92" s="136"/>
    </x:row>
    <x:row r="93">
      <x:c r="A93" s="136"/>
      <x:c r="B93" s="136"/>
      <x:c r="C93" s="136"/>
      <x:c r="D93" s="136"/>
      <x:c r="E93" s="136"/>
      <x:c r="F93" s="136"/>
      <x:c r="G93" s="136"/>
      <x:c r="H93" s="136"/>
      <x:c r="I93" s="136"/>
      <x:c r="J93" s="136"/>
      <x:c r="K93" s="136"/>
      <x:c r="L93" s="136"/>
      <x:c r="M93" s="136"/>
      <x:c r="N93" s="136"/>
      <x:c r="O93" s="136"/>
      <x:c r="P93" s="136"/>
      <x:c r="Q93" s="136"/>
      <x:c r="R93" s="136"/>
      <x:c r="S93" s="136"/>
      <x:c r="T93" s="136"/>
      <x:c r="U93" s="136"/>
      <x:c r="V93" s="136"/>
      <x:c r="W93" s="136"/>
      <x:c r="X93" s="136"/>
      <x:c r="Y93" s="136"/>
      <x:c r="Z93" s="136"/>
    </x:row>
    <x:row r="94">
      <x:c r="A94" s="136"/>
      <x:c r="B94" s="136"/>
      <x:c r="C94" s="136"/>
      <x:c r="D94" s="136"/>
      <x:c r="E94" s="136"/>
      <x:c r="F94" s="136"/>
      <x:c r="G94" s="136"/>
      <x:c r="H94" s="136"/>
      <x:c r="I94" s="136"/>
      <x:c r="J94" s="136"/>
      <x:c r="K94" s="136"/>
      <x:c r="L94" s="136"/>
      <x:c r="M94" s="136"/>
      <x:c r="N94" s="136"/>
      <x:c r="O94" s="136"/>
      <x:c r="P94" s="136"/>
      <x:c r="Q94" s="136"/>
      <x:c r="R94" s="136"/>
      <x:c r="S94" s="136"/>
      <x:c r="T94" s="136"/>
      <x:c r="U94" s="136"/>
      <x:c r="V94" s="136"/>
      <x:c r="W94" s="136"/>
      <x:c r="X94" s="136"/>
      <x:c r="Y94" s="136"/>
      <x:c r="Z94" s="136"/>
    </x:row>
    <x:row r="95">
      <x:c r="A95" s="136"/>
      <x:c r="B95" s="136"/>
      <x:c r="C95" s="136"/>
      <x:c r="D95" s="136"/>
      <x:c r="E95" s="136"/>
      <x:c r="F95" s="136"/>
      <x:c r="G95" s="136"/>
      <x:c r="H95" s="136"/>
      <x:c r="I95" s="136"/>
      <x:c r="J95" s="136"/>
      <x:c r="K95" s="136"/>
      <x:c r="L95" s="136"/>
      <x:c r="M95" s="136"/>
      <x:c r="N95" s="136"/>
      <x:c r="O95" s="136"/>
      <x:c r="P95" s="136"/>
      <x:c r="Q95" s="136"/>
      <x:c r="R95" s="136"/>
      <x:c r="S95" s="136"/>
      <x:c r="T95" s="136"/>
      <x:c r="U95" s="136"/>
      <x:c r="V95" s="136"/>
      <x:c r="W95" s="136"/>
      <x:c r="X95" s="136"/>
      <x:c r="Y95" s="136"/>
      <x:c r="Z95" s="136"/>
    </x:row>
    <x:row r="96">
      <x:c r="A96" s="136"/>
      <x:c r="B96" s="136"/>
      <x:c r="C96" s="136"/>
      <x:c r="D96" s="136"/>
      <x:c r="E96" s="136"/>
      <x:c r="F96" s="136"/>
      <x:c r="G96" s="136"/>
      <x:c r="H96" s="136"/>
      <x:c r="I96" s="136"/>
      <x:c r="J96" s="136"/>
      <x:c r="K96" s="136"/>
      <x:c r="L96" s="136"/>
      <x:c r="M96" s="136"/>
      <x:c r="N96" s="136"/>
      <x:c r="O96" s="136"/>
      <x:c r="P96" s="136"/>
      <x:c r="Q96" s="136"/>
      <x:c r="R96" s="136"/>
      <x:c r="S96" s="136"/>
      <x:c r="T96" s="136"/>
      <x:c r="U96" s="136"/>
      <x:c r="V96" s="136"/>
      <x:c r="W96" s="136"/>
      <x:c r="X96" s="136"/>
      <x:c r="Y96" s="136"/>
      <x:c r="Z96" s="136"/>
    </x:row>
    <x:row r="97">
      <x:c r="A97" s="136"/>
      <x:c r="B97" s="136"/>
      <x:c r="C97" s="136"/>
      <x:c r="D97" s="136"/>
      <x:c r="E97" s="136"/>
      <x:c r="F97" s="136"/>
      <x:c r="G97" s="136"/>
      <x:c r="H97" s="136"/>
      <x:c r="I97" s="136"/>
      <x:c r="J97" s="136"/>
      <x:c r="K97" s="136"/>
      <x:c r="L97" s="136"/>
      <x:c r="M97" s="136"/>
      <x:c r="N97" s="136"/>
      <x:c r="O97" s="136"/>
      <x:c r="P97" s="136"/>
      <x:c r="Q97" s="136"/>
      <x:c r="R97" s="136"/>
      <x:c r="S97" s="136"/>
      <x:c r="T97" s="136"/>
      <x:c r="U97" s="136"/>
      <x:c r="V97" s="136"/>
      <x:c r="W97" s="136"/>
      <x:c r="X97" s="136"/>
      <x:c r="Y97" s="136"/>
      <x:c r="Z97" s="136"/>
    </x:row>
    <x:row r="98">
      <x:c r="A98" s="136"/>
      <x:c r="B98" s="136"/>
      <x:c r="C98" s="136"/>
      <x:c r="D98" s="136"/>
      <x:c r="E98" s="136"/>
      <x:c r="F98" s="136"/>
      <x:c r="G98" s="136"/>
      <x:c r="H98" s="136"/>
      <x:c r="I98" s="136"/>
      <x:c r="J98" s="136"/>
      <x:c r="K98" s="136"/>
      <x:c r="L98" s="136"/>
      <x:c r="M98" s="136"/>
      <x:c r="N98" s="136"/>
      <x:c r="O98" s="136"/>
      <x:c r="P98" s="136"/>
      <x:c r="Q98" s="136"/>
      <x:c r="R98" s="136"/>
      <x:c r="S98" s="136"/>
      <x:c r="T98" s="136"/>
      <x:c r="U98" s="136"/>
      <x:c r="V98" s="136"/>
      <x:c r="W98" s="136"/>
      <x:c r="X98" s="136"/>
      <x:c r="Y98" s="136"/>
      <x:c r="Z98" s="136"/>
    </x:row>
    <x:row r="99">
      <x:c r="A99" s="136"/>
      <x:c r="B99" s="136"/>
      <x:c r="C99" s="136"/>
      <x:c r="D99" s="136"/>
      <x:c r="E99" s="136"/>
      <x:c r="F99" s="136"/>
      <x:c r="G99" s="136"/>
      <x:c r="H99" s="136"/>
      <x:c r="I99" s="136"/>
      <x:c r="J99" s="136"/>
      <x:c r="K99" s="136"/>
      <x:c r="L99" s="136"/>
      <x:c r="M99" s="136"/>
      <x:c r="N99" s="136"/>
      <x:c r="O99" s="136"/>
      <x:c r="P99" s="136"/>
      <x:c r="Q99" s="136"/>
      <x:c r="R99" s="136"/>
      <x:c r="S99" s="136"/>
      <x:c r="T99" s="136"/>
      <x:c r="U99" s="136"/>
      <x:c r="V99" s="136"/>
      <x:c r="W99" s="136"/>
      <x:c r="X99" s="136"/>
      <x:c r="Y99" s="136"/>
      <x:c r="Z99" s="136"/>
    </x:row>
    <x:row r="100">
      <x:c r="A100" s="136"/>
      <x:c r="B100" s="136"/>
      <x:c r="C100" s="136"/>
      <x:c r="D100" s="136"/>
      <x:c r="E100" s="136"/>
      <x:c r="F100" s="136"/>
      <x:c r="G100" s="136"/>
      <x:c r="H100" s="136"/>
      <x:c r="I100" s="136"/>
      <x:c r="J100" s="136"/>
      <x:c r="K100" s="136"/>
      <x:c r="L100" s="136"/>
      <x:c r="M100" s="136"/>
      <x:c r="N100" s="136"/>
      <x:c r="O100" s="136"/>
      <x:c r="P100" s="136"/>
      <x:c r="Q100" s="136"/>
      <x:c r="R100" s="136"/>
      <x:c r="S100" s="136"/>
      <x:c r="T100" s="136"/>
      <x:c r="U100" s="136"/>
      <x:c r="V100" s="136"/>
      <x:c r="W100" s="136"/>
      <x:c r="X100" s="136"/>
      <x:c r="Y100" s="136"/>
      <x:c r="Z100" s="136"/>
    </x:row>
  </x:sheetData>
  <x:mergeCells>
    <x:mergeCell ref="A1:E1"/>
    <x:mergeCell ref="A10:E10"/>
    <x:mergeCell ref="A16:E16"/>
    <x:mergeCell ref="A24:E24"/>
    <x:mergeCell ref="A30:E30"/>
    <x:mergeCell ref="A36:E36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3" hidden="0" customWidth="1"/>
    <x:col min="7" max="7" width="34" hidden="0" customWidth="1"/>
    <x:col min="8" max="8" width="13" hidden="0" customWidth="1"/>
    <x:col min="9" max="9" width="50" hidden="0" customWidth="1"/>
    <x:col min="10" max="10" width="52" hidden="0" customWidth="1"/>
    <x:col min="11" max="11" width="14" hidden="0" customWidth="1"/>
  </x:cols>
  <x:sheetData>
    <x:row r="1" ht="26" customHeight="1">
      <x:c r="A1" s="195" t="str">
        <x:v>Braskem Naphtha Arrival Monitor — 2026 Backfill</x:v>
      </x:c>
      <x:c r="B1" s="195"/>
      <x:c r="C1" s="195"/>
      <x:c r="D1" s="195"/>
      <x:c r="E1" s="195"/>
      <x:c r="F1" s="195"/>
      <x:c r="G1" s="195"/>
      <x:c r="H1" s="195"/>
      <x:c r="I1" s="195"/>
      <x:c r="J1" s="195"/>
      <x:c r="K1" s="195"/>
    </x:row>
    <x:row r="2">
      <x:c r="A2" s="198" t="str">
        <x:v>Scope: Jan–Aug 2026. Vessel-level naphtha tonnes are shown only where independently verified; missing public vessel history is left blank rather than treated as zero.</x:v>
      </x:c>
      <x:c r="B2" s="198"/>
      <x:c r="C2" s="198"/>
      <x:c r="D2" s="198"/>
      <x:c r="E2" s="198"/>
      <x:c r="F2" s="198"/>
      <x:c r="G2" s="198"/>
      <x:c r="H2" s="198"/>
      <x:c r="I2" s="198"/>
      <x:c r="J2" s="198"/>
      <x:c r="K2" s="198"/>
    </x:row>
    <x:row r="4">
      <x:c r="A4" s="203" t="str">
        <x:v>Month</x:v>
      </x:c>
      <x:c r="B4" s="203" t="str">
        <x:v>Verified Naphtha Completed (kt)</x:v>
      </x:c>
      <x:c r="C4" s="203" t="str">
        <x:v>Future LR1 (kt)</x:v>
      </x:c>
      <x:c r="D4" s="203" t="str">
        <x:v>Third-party (kt)</x:v>
      </x:c>
      <x:c r="E4" s="203" t="str">
        <x:v>Scheduled / Unconfirmed (kt)</x:v>
      </x:c>
      <x:c r="F4" s="203" t="str">
        <x:v>Official Aratu Total Cargo (kt; all products)</x:v>
      </x:c>
      <x:c r="G4" s="203" t="str">
        <x:v>Vessel-Level Coverage</x:v>
      </x:c>
      <x:c r="H4" s="203" t="str">
        <x:v>Confidence</x:v>
      </x:c>
      <x:c r="I4" s="203" t="str">
        <x:v>Key Evidence / Note</x:v>
      </x:c>
      <x:c r="J4" s="203" t="str">
        <x:v>Source URL</x:v>
      </x:c>
      <x:c r="K4" s="203" t="str">
        <x:v>Source As-of</x:v>
      </x:c>
    </x:row>
    <x:row r="5">
      <x:c r="A5" s="205" t="n">
        <x:v>46023</x:v>
      </x:c>
      <x:c r="B5" s="206"/>
      <x:c r="C5" s="206"/>
      <x:c r="D5" s="206"/>
      <x:c r="E5" s="206"/>
      <x:c r="F5" s="206"/>
      <x:c r="G5" s="86" t="str">
        <x:v>Public vessel-level naphtha archive not recovered</x:v>
      </x:c>
      <x:c r="H5" s="86" t="str">
        <x:v>Incomplete</x:v>
      </x:c>
      <x:c r="I5" s="86" t="str">
        <x:v>Do not interpret blanks as zero imports.</x:v>
      </x:c>
      <x:c r="J5" s="207" t="str"/>
      <x:c r="K5" s="104" t="n">
        <x:v>46260</x:v>
      </x:c>
    </x:row>
    <x:row r="6">
      <x:c r="A6" s="205" t="n">
        <x:v>46054</x:v>
      </x:c>
      <x:c r="B6" s="206"/>
      <x:c r="C6" s="206"/>
      <x:c r="D6" s="206"/>
      <x:c r="E6" s="206"/>
      <x:c r="F6" s="206" t="n">
        <x:v>555</x:v>
      </x:c>
      <x:c r="G6" s="86" t="str">
        <x:v>Public vessel-level naphtha archive not recovered</x:v>
      </x:c>
      <x:c r="H6" s="86" t="str">
        <x:v>Partial</x:v>
      </x:c>
      <x:c r="I6" s="86" t="str">
        <x:v>CODEBA/Ministry reporting: Aratu moved 555kt total cargo in Feb-26; not naphtha-specific.</x:v>
      </x:c>
      <x:c r="J6" s="207" t="str">
        <x:v>https://www.codeba.gov.br/eficiente/sites/portalcodeba/pt-br/site.php?pub=10382&amp;secao=noticias_gerais</x:v>
      </x:c>
      <x:c r="K6" s="104" t="n">
        <x:v>46260</x:v>
      </x:c>
    </x:row>
    <x:row r="7">
      <x:c r="A7" s="205" t="n">
        <x:v>46082</x:v>
      </x:c>
      <x:c r="B7" s="206"/>
      <x:c r="C7" s="206"/>
      <x:c r="D7" s="206"/>
      <x:c r="E7" s="206"/>
      <x:c r="F7" s="206" t="n">
        <x:v>681.65</x:v>
      </x:c>
      <x:c r="G7" s="86" t="str">
        <x:v>Public vessel-level naphtha archive not recovered</x:v>
      </x:c>
      <x:c r="H7" s="86" t="str">
        <x:v>Partial</x:v>
      </x:c>
      <x:c r="I7" s="86" t="str">
        <x:v>Published CODEBA-linked reporting: Aratu moved 681.65kt total cargo in Mar-26; not naphtha-specific.</x:v>
      </x:c>
      <x:c r="J7" s="207" t="str">
        <x:v>https://www.abtra.org.br/noticias/portos-da-bahia-ampliam-movimentacao-em-quase-28-em-marco/</x:v>
      </x:c>
      <x:c r="K7" s="104" t="n">
        <x:v>46260</x:v>
      </x:c>
    </x:row>
    <x:row r="8">
      <x:c r="A8" s="205" t="n">
        <x:v>46113</x:v>
      </x:c>
      <x:c r="B8" s="206"/>
      <x:c r="C8" s="206"/>
      <x:c r="D8" s="206"/>
      <x:c r="E8" s="206"/>
      <x:c r="F8" s="206"/>
      <x:c r="G8" s="86" t="str">
        <x:v>Public vessel-level naphtha archive not recovered</x:v>
      </x:c>
      <x:c r="H8" s="86" t="str">
        <x:v>Incomplete</x:v>
      </x:c>
      <x:c r="I8" s="86" t="str">
        <x:v>Do not interpret blanks as zero imports.</x:v>
      </x:c>
      <x:c r="J8" s="207" t="str"/>
      <x:c r="K8" s="104" t="n">
        <x:v>46260</x:v>
      </x:c>
    </x:row>
    <x:row r="9">
      <x:c r="A9" s="205" t="n">
        <x:v>46143</x:v>
      </x:c>
      <x:c r="B9" s="206"/>
      <x:c r="C9" s="206"/>
      <x:c r="D9" s="206"/>
      <x:c r="E9" s="206"/>
      <x:c r="F9" s="206"/>
      <x:c r="G9" s="86" t="str">
        <x:v>Public vessel-level naphtha archive not recovered</x:v>
      </x:c>
      <x:c r="H9" s="86" t="str">
        <x:v>Partial</x:v>
      </x:c>
      <x:c r="I9" s="86" t="str">
        <x:v>Jan–May 2026 Aratu total cargo was 3,008.443kt; monthly May total not separately sourced in this backfill.</x:v>
      </x:c>
      <x:c r="J9" s="207" t="str">
        <x:v>https://jornalgrandebahia.com.br/2026/08/porto-de-aratu-abre-nova-rota-de-graos-no-atu-18-operacao-iniciada-em-marco-de-2026-mira-3-milhoes-de-toneladas-em-2026/</x:v>
      </x:c>
      <x:c r="K9" s="104" t="n">
        <x:v>46260</x:v>
      </x:c>
    </x:row>
    <x:row r="10">
      <x:c r="A10" s="205" t="n">
        <x:v>46174</x:v>
      </x:c>
      <x:c r="B10" s="206"/>
      <x:c r="C10" s="206"/>
      <x:c r="D10" s="206"/>
      <x:c r="E10" s="206"/>
      <x:c r="F10" s="206" t="n">
        <x:v>692.2</x:v>
      </x:c>
      <x:c r="G10" s="86" t="str">
        <x:v>Public vessel-level naphtha archive not recovered</x:v>
      </x:c>
      <x:c r="H10" s="86" t="str">
        <x:v>Partial</x:v>
      </x:c>
      <x:c r="I10" s="86" t="str">
        <x:v>Official CODEBA H1 release: Aratu moved 692.2kt total cargo in Jun-26.</x:v>
      </x:c>
      <x:c r="J10" s="207" t="str">
        <x:v>https://codeba.gov.br/eficiente/sites/portalcodeba/pt-br/site.php?pub=10534&amp;secao=noticias_gerais</x:v>
      </x:c>
      <x:c r="K10" s="104" t="n">
        <x:v>46260</x:v>
      </x:c>
    </x:row>
    <x:row r="11">
      <x:c r="A11" s="205" t="n">
        <x:v>46204</x:v>
      </x:c>
      <x:c r="B11" s="206"/>
      <x:c r="C11" s="206"/>
      <x:c r="D11" s="206"/>
      <x:c r="E11" s="206"/>
      <x:c r="F11" s="206"/>
      <x:c r="G11" s="86" t="str">
        <x:v>Public vessel-level naphtha archive not recovered</x:v>
      </x:c>
      <x:c r="H11" s="86" t="str">
        <x:v>Incomplete</x:v>
      </x:c>
      <x:c r="I11" s="86" t="str">
        <x:v>Do not interpret blanks as zero imports.</x:v>
      </x:c>
      <x:c r="J11" s="207" t="str"/>
      <x:c r="K11" s="104" t="n">
        <x:v>46260</x:v>
      </x:c>
    </x:row>
    <x:row r="12">
      <x:c r="A12" s="205" t="n">
        <x:v>46235</x:v>
      </x:c>
      <x:c r="B12" s="206" t="n">
        <x:v>204.055253</x:v>
      </x:c>
      <x:c r="C12" s="206" t="n">
        <x:v>55.245144</x:v>
      </x:c>
      <x:c r="D12" s="206" t="n">
        <x:v>148.810109</x:v>
      </x:c>
      <x:c r="E12" s="206"/>
      <x:c r="F12" s="206"/>
      <x:c r="G12" s="86" t="str">
        <x:v>Verified vessel-level Aratu capture</x:v>
      </x:c>
      <x:c r="H12" s="86" t="str">
        <x:v>High</x:v>
      </x:c>
      <x:c r="I12" s="86" t="str">
        <x:v>204.055kt retained completed capture. Prior schedules now unresolved; not current forward tonnage.</x:v>
      </x:c>
      <x:c r="J12" s="207" t="str">
        <x:v>https://codeba.gov.br/eficiente/sites/portalcodeba/pt-br/porto_aratu.php?secao=tportos_aratu</x:v>
      </x:c>
      <x:c r="K12" s="104" t="n">
        <x:v>46260</x:v>
      </x:c>
    </x:row>
    <x:row r="14">
      <x:c r="A14" s="209" t="str">
        <x:v>Official 2026 Port Context (not naphtha-specific)</x:v>
      </x:c>
      <x:c r="B14" s="209"/>
      <x:c r="C14" s="209"/>
      <x:c r="D14" s="209"/>
      <x:c r="E14" s="209"/>
      <x:c r="F14" s="209"/>
      <x:c r="G14" s="209"/>
      <x:c r="H14" s="209"/>
      <x:c r="I14" s="209"/>
      <x:c r="J14" s="209"/>
      <x:c r="K14" s="209"/>
    </x:row>
    <x:row r="15">
      <x:c r="A15" s="203" t="str">
        <x:v>Metric</x:v>
      </x:c>
      <x:c r="B15" s="203" t="str">
        <x:v>Value</x:v>
      </x:c>
      <x:c r="C15" s="203" t="str">
        <x:v>Why it matters</x:v>
      </x:c>
      <x:c r="D15" s="203" t="str">
        <x:v>Source URL</x:v>
      </x:c>
    </x:row>
    <x:row r="16">
      <x:c r="A16" s="86" t="str">
        <x:v>Aratu H1 2026 total cargo (kt)</x:v>
      </x:c>
      <x:c r="B16" s="105" t="n">
        <x:v>3700</x:v>
      </x:c>
      <x:c r="C16" s="86" t="str">
        <x:v>Confirms very high overall throughput; cannot be used as naphtha volume.</x:v>
      </x:c>
      <x:c r="D16" s="207" t="str">
        <x:v>https://codeba.gov.br/eficiente/sites/portalcodeba/pt-br/site.php?pub=10534&amp;secao=noticias_gerais</x:v>
      </x:c>
    </x:row>
    <x:row r="17">
      <x:c r="A17" s="86" t="str">
        <x:v>Aratu H1 2026 imports YoY</x:v>
      </x:c>
      <x:c r="B17" s="210" t="n">
        <x:v>0.1299</x:v>
      </x:c>
      <x:c r="C17" s="86" t="str">
        <x:v>Imports were up 12.99% YoY across all cargo categories.</x:v>
      </x:c>
      <x:c r="D17" s="207" t="str">
        <x:v>https://codeba.gov.br/eficiente/sites/portalcodeba/pt-br/site.php?pub=10534&amp;secao=noticias_gerais</x:v>
      </x:c>
    </x:row>
    <x:row r="18">
      <x:c r="A18" s="86" t="str">
        <x:v>Aratu Jan–May 2026 total cargo (kt)</x:v>
      </x:c>
      <x:c r="B18" s="105" t="n">
        <x:v>3008.443</x:v>
      </x:c>
      <x:c r="C18" s="86" t="str">
        <x:v>Cross-check on the official/press-reported port throughput trajectory.</x:v>
      </x:c>
      <x:c r="D18" s="207" t="str">
        <x:v>https://jornalgrandebahia.com.br/2026/08/porto-de-aratu-abre-nova-rota-de-graos-no-atu-18-operacao-iniciada-em-marco-de-2026-mira-3-milhoes-de-toneladas-em-2026/</x:v>
      </x:c>
    </x:row>
    <x:row r="20">
      <x:c r="A20" s="209" t="str">
        <x:v>What is still missing</x:v>
      </x:c>
      <x:c r="B20" s="209"/>
      <x:c r="C20" s="209"/>
      <x:c r="D20" s="209"/>
      <x:c r="E20" s="209"/>
      <x:c r="F20" s="209"/>
      <x:c r="G20" s="209"/>
      <x:c r="H20" s="209"/>
      <x:c r="I20" s="209"/>
      <x:c r="J20" s="209"/>
      <x:c r="K20" s="209"/>
    </x:row>
    <x:row r="21">
      <x:c r="A21" s="214" t="str">
        <x:v>Vessel-level history remains incomplete. Braskem-specific naphtha customs imports for January–August are now available in Customs Imports. Customs clearances are not a vessel-arrival backfill.</x:v>
      </x:c>
      <x:c r="B21" s="214"/>
      <x:c r="C21" s="214"/>
      <x:c r="D21" s="214"/>
      <x:c r="E21" s="214"/>
      <x:c r="F21" s="214"/>
      <x:c r="G21" s="214"/>
      <x:c r="H21" s="214"/>
      <x:c r="I21" s="214"/>
      <x:c r="J21" s="214"/>
      <x:c r="K21" s="214"/>
    </x:row>
    <x:row r="22">
      <x:c r="A22" s="214"/>
      <x:c r="B22" s="214"/>
      <x:c r="C22" s="214"/>
      <x:c r="D22" s="214"/>
      <x:c r="E22" s="214"/>
      <x:c r="F22" s="214"/>
      <x:c r="G22" s="214"/>
      <x:c r="H22" s="214"/>
      <x:c r="I22" s="214"/>
      <x:c r="J22" s="214"/>
      <x:c r="K22" s="214"/>
    </x:row>
    <x:row r="23">
      <x:c r="A23" s="214"/>
      <x:c r="B23" s="214"/>
      <x:c r="C23" s="214"/>
      <x:c r="D23" s="214"/>
      <x:c r="E23" s="214"/>
      <x:c r="F23" s="214"/>
      <x:c r="G23" s="214"/>
      <x:c r="H23" s="214"/>
      <x:c r="I23" s="214"/>
      <x:c r="J23" s="214"/>
      <x:c r="K23" s="214"/>
    </x:row>
  </x:sheetData>
  <x:mergeCells>
    <x:mergeCell ref="A1:K1"/>
    <x:mergeCell ref="A2:K2"/>
    <x:mergeCell ref="A14:K14"/>
    <x:mergeCell ref="A20:K20"/>
    <x:mergeCell ref="A21:K23"/>
  </x:mergeCells>
  <x:conditionalFormatting sqref="H5:H12">
    <x:cfRule type="expression" dxfId="6" priority="1">
      <x:formula>$H5="High"</x:formula>
    </x:cfRule>
    <x:cfRule type="expression" dxfId="7" priority="2">
      <x:formula>$H5="Partial"</x:formula>
    </x:cfRule>
    <x:cfRule type="expression" dxfId="8" priority="3">
      <x:formula>$H5="Incomplete"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55" hidden="0" customWidth="1"/>
    <x:col min="4" max="4" width="24" hidden="0" customWidth="1"/>
    <x:col min="5" max="5" width="22" hidden="0" customWidth="1"/>
    <x:col min="6" max="6" width="14" hidden="0" customWidth="1"/>
    <x:col min="7" max="7" width="2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4" hidden="0" customWidth="1"/>
    <x:col min="13" max="13" width="52" hidden="0" customWidth="1"/>
    <x:col min="14" max="14" width="48" hidden="0" customWidth="1"/>
  </x:cols>
  <x:sheetData>
    <x:row r="1" ht="26" customHeight="1">
      <x:c r="A1" s="227" t="str">
        <x:v>Braskem Naphtha Monitor — 2026 Reconstruction</x:v>
      </x:c>
      <x:c r="B1" s="227"/>
      <x:c r="C1" s="227"/>
      <x:c r="D1" s="227"/>
      <x:c r="E1" s="227"/>
      <x:c r="F1" s="227"/>
      <x:c r="G1" s="227"/>
      <x:c r="H1" s="227"/>
      <x:c r="I1" s="227"/>
      <x:c r="J1" s="227"/>
      <x:c r="K1" s="227"/>
      <x:c r="L1" s="227"/>
      <x:c r="M1" s="227"/>
      <x:c r="N1" s="227"/>
    </x:row>
    <x:row r="2">
      <x:c r="A2" s="230" t="str">
        <x:v>National ANP naphtha imports are the official control series; Braskem-specific August Aratu receipts are shown separately. Do not equate national imports with Braskem receipts or gross Aratu receipts with imports until importer/origin is verified.</x:v>
      </x:c>
      <x:c r="B2" s="230"/>
      <x:c r="C2" s="230"/>
      <x:c r="D2" s="230"/>
      <x:c r="E2" s="230"/>
      <x:c r="F2" s="230"/>
      <x:c r="G2" s="230"/>
      <x:c r="H2" s="230"/>
      <x:c r="I2" s="230"/>
      <x:c r="J2" s="230"/>
      <x:c r="K2" s="230"/>
      <x:c r="L2" s="230"/>
      <x:c r="M2" s="230"/>
      <x:c r="N2" s="230"/>
    </x:row>
    <x:row r="4">
      <x:c r="A4" s="233" t="str">
        <x:v>Key Assumptions &amp; Current Read</x:v>
      </x:c>
      <x:c r="B4" s="233"/>
      <x:c r="C4" s="233"/>
      <x:c r="D4" s="233"/>
      <x:c r="E4" s="233"/>
      <x:c r="F4" s="233"/>
      <x:c r="G4" s="233"/>
      <x:c r="H4" s="233"/>
      <x:c r="I4" s="233"/>
      <x:c r="J4" s="233"/>
      <x:c r="K4" s="233"/>
      <x:c r="L4" s="233"/>
      <x:c r="M4" s="233"/>
      <x:c r="N4" s="233"/>
    </x:row>
    <x:row r="5">
      <x:c r="A5" s="238" t="str">
        <x:v>Metric</x:v>
      </x:c>
      <x:c r="B5" s="238" t="str">
        <x:v>Value</x:v>
      </x:c>
      <x:c r="C5" s="238" t="str">
        <x:v>Units / Definition</x:v>
      </x:c>
      <x:c r="D5" s="238" t="str">
        <x:v>Source / Comment</x:v>
      </x:c>
    </x:row>
    <x:row r="6">
      <x:c r="A6" t="str">
        <x:v>Naphtha density assumption</x:v>
      </x:c>
      <x:c r="B6" s="239" t="n">
        <x:v>0.73</x:v>
      </x:c>
      <x:c r="C6" t="str">
        <x:v>t/m³</x:v>
      </x:c>
      <x:c r="D6" t="str">
        <x:v>Modeling assumption; used only to convert ANP m³ to estimated tonnes.</x:v>
      </x:c>
    </x:row>
    <x:row r="7">
      <x:c r="A7" t="str">
        <x:v>Q1 2026 imports</x:v>
      </x:c>
      <x:c r="B7" s="240" t="n">
        <x:f>SUM(B13:B15)</x:f>
        <x:v>1302623.2086</x:v>
      </x:c>
      <x:c r="C7" t="str">
        <x:v>m³</x:v>
      </x:c>
      <x:c r="D7" t="str">
        <x:v>Rechecked Oct-12; national file unchanged through August.</x:v>
      </x:c>
    </x:row>
    <x:row r="8">
      <x:c r="A8" t="str">
        <x:v>Q2 2026 imports</x:v>
      </x:c>
      <x:c r="B8" s="240" t="n">
        <x:f>SUM(B16:B18)</x:f>
        <x:v>724799.9043</x:v>
      </x:c>
      <x:c r="C8" t="str">
        <x:v>m³</x:v>
      </x:c>
      <x:c r="D8" t="str">
        <x:v>Rechecked Oct-12; national file unchanged through August.</x:v>
      </x:c>
    </x:row>
    <x:row r="9">
      <x:c r="A9" t="str">
        <x:v>Q2 vs Q1</x:v>
      </x:c>
      <x:c r="B9" s="241" t="n">
        <x:f>B8/B7-1</x:f>
        <x:v>-0.4435843768828732</x:v>
      </x:c>
      <x:c r="C9" t="str">
        <x:v>%</x:v>
      </x:c>
      <x:c r="D9" t="str">
        <x:v>Q2 vs Q1 non-overlapping comparison.</x:v>
      </x:c>
    </x:row>
    <x:row r="10">
      <x:c r="A10" t="str">
        <x:v>Current national trend</x:v>
      </x:c>
      <x:c r="B10" s="282" t="str">
        <x:v>RECOVERING; BELOW Q1</x:v>
      </x:c>
      <x:c r="C10"/>
      <x:c r="D10" s="280" t="str">
        <x:v>Aug +35.8% MoM; 3M 2.60Mt/yr vs Q1 3.80Mt/yr.</x:v>
      </x:c>
    </x:row>
    <x:row r="11">
      <x:c r="A11" s="18" t="str">
        <x:v>Latest 3M Jun–Aug annualized</x:v>
      </x:c>
      <x:c r="B11" s="298" t="n">
        <x:f>E20</x:f>
        <x:v>2.599446913444</x:v>
      </x:c>
      <x:c r="C11" s="18" t="str">
        <x:v>Mt/yr @ 0.73 t/m³</x:v>
      </x:c>
      <x:c r="D11" s="18" t="str">
        <x:v>ANP national control series</x:v>
      </x:c>
    </x:row>
    <x:row r="12">
      <x:c r="A12" s="238" t="str">
        <x:v>Month</x:v>
      </x:c>
      <x:c r="B12" s="238" t="str">
        <x:v>ANP Brazil Naphtha Imports (m³)</x:v>
      </x:c>
      <x:c r="C12" s="238" t="str">
        <x:v>Est. Brazil Imports (kt @ density)</x:v>
      </x:c>
      <x:c r="D12" s="238" t="str">
        <x:v>3M Rolling Imports (m³)</x:v>
      </x:c>
      <x:c r="E12" s="238" t="str">
        <x:v>3M Annualized Imports (Mt @ density)</x:v>
      </x:c>
      <x:c r="F12" s="238" t="str">
        <x:v>MoM Change</x:v>
      </x:c>
      <x:c r="G12" s="238" t="str">
        <x:v>Quarter / Trend Read</x:v>
      </x:c>
      <x:c r="H12" s="238" t="str">
        <x:v>Braskem Aratu Gross Completed (kt)</x:v>
      </x:c>
      <x:c r="I12" s="238" t="str">
        <x:v>Future LR1 Completed (kt)</x:v>
      </x:c>
      <x:c r="J12" s="238" t="str">
        <x:v>Third-party Completed (kt)</x:v>
      </x:c>
      <x:c r="K12" s="238" t="str">
        <x:v>Near-Forward Aratu (kt)</x:v>
      </x:c>
      <x:c r="L12" s="238" t="str">
        <x:v>Braskem-Specific Import Coverage</x:v>
      </x:c>
      <x:c r="M12" s="238" t="str">
        <x:v>Primary Source</x:v>
      </x:c>
      <x:c r="N12" s="238" t="str">
        <x:v>Comment</x:v>
      </x:c>
    </x:row>
    <x:row r="13">
      <x:c r="A13" s="205" t="n">
        <x:v>46023</x:v>
      </x:c>
      <x:c r="B13" s="243" t="n">
        <x:v>401434.0643</x:v>
      </x:c>
      <x:c r="C13" s="244" t="n">
        <x:f>IF(B13="","",B13*$B$6/1000)</x:f>
        <x:v>293.04686693900004</x:v>
      </x:c>
      <x:c r="D13" s="245" t="str">
        <x:f>""</x:f>
      </x:c>
      <x:c r="E13" s="271" t="str">
        <x:f>""</x:f>
      </x:c>
      <x:c r="F13" s="247" t="str">
        <x:f>""</x:f>
      </x:c>
      <x:c r="G13" s="86" t="str">
        <x:v>Q1</x:v>
      </x:c>
      <x:c r="H13" s="206"/>
      <x:c r="I13" s="206"/>
      <x:c r="J13" s="206"/>
      <x:c r="K13" s="206"/>
      <x:c r="L13" s="86" t="str">
        <x:v>Braskem customs history now loaded in Customs Imports; distinct reporting basis.</x:v>
      </x:c>
      <x:c r="M13" s="207" t="str">
        <x:v>https://www.gov.br/anp/pt-br/centrais-de-conteudo/dados-abertos/arquivos/ie/derivados/importacoes-exportacoes-derivados-2000-2025.csv/view</x:v>
      </x:c>
      <x:c r="N13" s="86" t="str">
        <x:v>ANP CSV fetched Oct-1; revised January–July and added August. National imports, not Braskem-specific.</x:v>
      </x:c>
    </x:row>
    <x:row r="14">
      <x:c r="A14" s="205" t="n">
        <x:v>46054</x:v>
      </x:c>
      <x:c r="B14" s="243" t="n">
        <x:v>443672.77</x:v>
      </x:c>
      <x:c r="C14" s="244" t="n">
        <x:f>IF(B14="","",B14*$B$6/1000)</x:f>
        <x:v>323.88112209999997</x:v>
      </x:c>
      <x:c r="D14" s="245" t="str">
        <x:f>""</x:f>
      </x:c>
      <x:c r="E14" s="271" t="str">
        <x:f>""</x:f>
      </x:c>
      <x:c r="F14" s="247" t="n">
        <x:f>IF(OR(B14="",B13=""),"",B14/B13-1)</x:f>
        <x:v>0.10521953530190231</x:v>
      </x:c>
      <x:c r="G14" s="86" t="str">
        <x:v>Q1</x:v>
      </x:c>
      <x:c r="H14" s="206"/>
      <x:c r="I14" s="206"/>
      <x:c r="J14" s="206"/>
      <x:c r="K14" s="206"/>
      <x:c r="L14" s="86" t="str">
        <x:v>Braskem customs history now loaded in Customs Imports; distinct reporting basis.</x:v>
      </x:c>
      <x:c r="M14" s="207" t="str">
        <x:v>https://www.gov.br/anp/pt-br/centrais-de-conteudo/dados-abertos/arquivos/ie/derivados/importacoes-exportacoes-derivados-2000-2025.csv/view</x:v>
      </x:c>
      <x:c r="N14" s="86" t="str">
        <x:v>ANP CSV fetched Oct-1; revised January–July and added August. National imports, not Braskem-specific.</x:v>
      </x:c>
    </x:row>
    <x:row r="15">
      <x:c r="A15" s="205" t="n">
        <x:v>46082</x:v>
      </x:c>
      <x:c r="B15" s="243" t="n">
        <x:v>457516.3743</x:v>
      </x:c>
      <x:c r="C15" s="244" t="n">
        <x:f>IF(B15="","",B15*$B$6/1000)</x:f>
        <x:v>333.986953239</x:v>
      </x:c>
      <x:c r="D15" s="245" t="n">
        <x:f>IF(COUNT(B13:B15)=3,SUM(B13:B15),"")</x:f>
        <x:v>1302623.2086</x:v>
      </x:c>
      <x:c r="E15" s="271" t="n">
        <x:f>IF(D15="","",D15*4*$B$6/1000000)</x:f>
        <x:v>3.803659769112</x:v>
      </x:c>
      <x:c r="F15" s="247" t="n">
        <x:f>IF(OR(B15="",B14=""),"",B15/B14-1)</x:f>
        <x:v>0.03120228518869883</x:v>
      </x:c>
      <x:c r="G15" s="86" t="str">
        <x:v>Q1</x:v>
      </x:c>
      <x:c r="H15" s="206"/>
      <x:c r="I15" s="206"/>
      <x:c r="J15" s="206"/>
      <x:c r="K15" s="206"/>
      <x:c r="L15" s="86" t="str">
        <x:v>Braskem customs history now loaded in Customs Imports; distinct reporting basis.</x:v>
      </x:c>
      <x:c r="M15" s="207" t="str">
        <x:v>https://www.gov.br/anp/pt-br/centrais-de-conteudo/dados-abertos/arquivos/ie/derivados/importacoes-exportacoes-derivados-2000-2025.csv/view</x:v>
      </x:c>
      <x:c r="N15" s="86" t="str">
        <x:v>ANP CSV fetched Oct-1; revised January–July and added August. National imports, not Braskem-specific.</x:v>
      </x:c>
    </x:row>
    <x:row r="16">
      <x:c r="A16" s="205" t="n">
        <x:v>46113</x:v>
      </x:c>
      <x:c r="B16" s="243" t="n">
        <x:v>294746.8786</x:v>
      </x:c>
      <x:c r="C16" s="244" t="n">
        <x:f>IF(B16="","",B16*$B$6/1000)</x:f>
        <x:v>215.16522137799998</x:v>
      </x:c>
      <x:c r="D16" s="245" t="n">
        <x:f>IF(COUNT(B14:B16)=3,SUM(B14:B16),"")</x:f>
        <x:v>1195936.0229</x:v>
      </x:c>
      <x:c r="E16" s="271" t="n">
        <x:f>IF(D16="","",D16*4*$B$6/1000000)</x:f>
        <x:v>3.4921331868679997</x:v>
      </x:c>
      <x:c r="F16" s="247" t="n">
        <x:f>IF(OR(B16="",B15=""),"",B16/B15-1)</x:f>
        <x:v>-0.35576758525645624</x:v>
      </x:c>
      <x:c r="G16" s="86" t="str">
        <x:v>Q2</x:v>
      </x:c>
      <x:c r="H16" s="206"/>
      <x:c r="I16" s="206"/>
      <x:c r="J16" s="206"/>
      <x:c r="K16" s="206"/>
      <x:c r="L16" s="86" t="str">
        <x:v>Braskem customs history now loaded in Customs Imports; distinct reporting basis.</x:v>
      </x:c>
      <x:c r="M16" s="207" t="str">
        <x:v>https://www.gov.br/anp/pt-br/centrais-de-conteudo/dados-abertos/arquivos/ie/derivados/importacoes-exportacoes-derivados-2000-2025.csv/view</x:v>
      </x:c>
      <x:c r="N16" s="86" t="str">
        <x:v>ANP CSV fetched Oct-1; revised January–July and added August. National imports, not Braskem-specific.</x:v>
      </x:c>
    </x:row>
    <x:row r="17">
      <x:c r="A17" s="205" t="n">
        <x:v>46143</x:v>
      </x:c>
      <x:c r="B17" s="243" t="n">
        <x:v>136064.59</x:v>
      </x:c>
      <x:c r="C17" s="244" t="n">
        <x:f>IF(B17="","",B17*$B$6/1000)</x:f>
        <x:v>99.3271507</x:v>
      </x:c>
      <x:c r="D17" s="245" t="n">
        <x:f>IF(COUNT(B15:B17)=3,SUM(B15:B17),"")</x:f>
        <x:v>888327.8428999999</x:v>
      </x:c>
      <x:c r="E17" s="271" t="n">
        <x:f>IF(D17="","",D17*4*$B$6/1000000)</x:f>
        <x:v>2.5939173012679997</x:v>
      </x:c>
      <x:c r="F17" s="247" t="n">
        <x:f>IF(OR(B17="",B16=""),"",B17/B16-1)</x:f>
        <x:v>-0.5383680036026681</x:v>
      </x:c>
      <x:c r="G17" s="86" t="str">
        <x:v>Q2</x:v>
      </x:c>
      <x:c r="H17" s="206"/>
      <x:c r="I17" s="206"/>
      <x:c r="J17" s="206"/>
      <x:c r="K17" s="206"/>
      <x:c r="L17" s="86" t="str">
        <x:v>Braskem customs history now loaded in Customs Imports; distinct reporting basis.</x:v>
      </x:c>
      <x:c r="M17" s="207" t="str">
        <x:v>https://www.gov.br/anp/pt-br/centrais-de-conteudo/dados-abertos/arquivos/ie/derivados/importacoes-exportacoes-derivados-2000-2025.csv/view</x:v>
      </x:c>
      <x:c r="N17" s="86" t="str">
        <x:v>ANP CSV fetched Oct-1; revised January–July and added August. National imports, not Braskem-specific.</x:v>
      </x:c>
    </x:row>
    <x:row r="18">
      <x:c r="A18" s="205" t="n">
        <x:v>46174</x:v>
      </x:c>
      <x:c r="B18" s="243" t="n">
        <x:v>293988.4357</x:v>
      </x:c>
      <x:c r="C18" s="244" t="n">
        <x:f>IF(B18="","",B18*$B$6/1000)</x:f>
        <x:v>214.61155806099998</x:v>
      </x:c>
      <x:c r="D18" s="245" t="n">
        <x:f>IF(COUNT(B16:B18)=3,SUM(B16:B18),"")</x:f>
        <x:v>724799.9043</x:v>
      </x:c>
      <x:c r="E18" s="271" t="n">
        <x:f>IF(D18="","",D18*4*$B$6/1000000)</x:f>
        <x:v>2.116415720556</x:v>
      </x:c>
      <x:c r="F18" s="247" t="n">
        <x:f>IF(OR(B18="",B17=""),"",B18/B17-1)</x:f>
        <x:v>1.1606535227129995</x:v>
      </x:c>
      <x:c r="G18" s="249" t="str">
        <x:v>Q2 — quarter clearly down vs Q1</x:v>
      </x:c>
      <x:c r="H18" s="206"/>
      <x:c r="I18" s="206"/>
      <x:c r="J18" s="206"/>
      <x:c r="K18" s="206"/>
      <x:c r="L18" s="86" t="str">
        <x:v>Braskem customs history now loaded in Customs Imports; distinct reporting basis.</x:v>
      </x:c>
      <x:c r="M18" s="207" t="str">
        <x:v>https://www.gov.br/anp/pt-br/centrais-de-conteudo/dados-abertos/arquivos/ie/derivados/importacoes-exportacoes-derivados-2000-2025.csv/view</x:v>
      </x:c>
      <x:c r="N18" s="86" t="str">
        <x:v>ANP CSV fetched Oct-1; revised January–July and added August. National imports, not Braskem-specific.</x:v>
      </x:c>
    </x:row>
    <x:row r="19">
      <x:c r="A19" s="205" t="n">
        <x:v>46204</x:v>
      </x:c>
      <x:c r="B19" s="243" t="n">
        <x:v>252848.4871</x:v>
      </x:c>
      <x:c r="C19" s="244" t="n">
        <x:f>B19*$B$6/1000</x:f>
        <x:v>184.579395583</x:v>
      </x:c>
      <x:c r="D19" s="245" t="n">
        <x:f>SUM(B17:B19)</x:f>
        <x:v>682901.5128</x:v>
      </x:c>
      <x:c r="E19" s="271" t="n">
        <x:f>D19*4*$B$6/1000000</x:f>
        <x:v>1.994072417376</x:v>
      </x:c>
      <x:c r="F19" s="247" t="n">
        <x:f>B19/B18-1</x:f>
        <x:v>-0.13993730230253398</x:v>
      </x:c>
      <x:c r="G19" s="86" t="str">
        <x:v>Jul — recovery off May trough, still below Q1</x:v>
      </x:c>
      <x:c r="H19" s="206"/>
      <x:c r="I19" s="206"/>
      <x:c r="J19" s="206"/>
      <x:c r="K19" s="206"/>
      <x:c r="L19" s="86" t="str">
        <x:v>Braskem customs history now loaded in Customs Imports; distinct reporting basis.</x:v>
      </x:c>
      <x:c r="M19" s="207" t="str">
        <x:v>https://www.gov.br/anp/pt-br/centrais-de-conteudo/dados-abertos/importacoes-e-exportacoes</x:v>
      </x:c>
      <x:c r="N19" s="86" t="str">
        <x:v>ANP CSV fetched Oct-1; revised January–July and added August. National imports, not Braskem-specific.</x:v>
      </x:c>
    </x:row>
    <x:row r="20">
      <x:c r="A20" s="205" t="n">
        <x:v>46235</x:v>
      </x:c>
      <x:c r="B20" s="243" t="n">
        <x:v>343384.6229</x:v>
      </x:c>
      <x:c r="C20" s="244" t="n">
        <x:f>IF(B20="","",B20*$B$6/1000)</x:f>
        <x:v>250.670774717</x:v>
      </x:c>
      <x:c r="D20" s="245" t="n">
        <x:f>IF(COUNT(B18:B20)=3,SUM(B18:B20),"")</x:f>
        <x:v>890221.5456999999</x:v>
      </x:c>
      <x:c r="E20" s="271" t="n">
        <x:f>IF(D20="","",D20*4*$B$6/1000000)</x:f>
        <x:v>2.599446913444</x:v>
      </x:c>
      <x:c r="F20" s="247" t="n">
        <x:f>IF(OR(B20="",B19=""),"",B20/B19-1)</x:f>
        <x:v>0.35806477166775985</x:v>
      </x:c>
      <x:c r="G20" s="275" t="str">
        <x:v>Aug — Braskem Aratu flow strengthened</x:v>
      </x:c>
      <x:c r="H20" s="206" t="n">
        <x:v>204.055253</x:v>
      </x:c>
      <x:c r="I20" s="206" t="n">
        <x:v>55.245144</x:v>
      </x:c>
      <x:c r="J20" s="206" t="n">
        <x:v>148.810109</x:v>
      </x:c>
      <x:c r="K20" s="206"/>
      <x:c r="L20" s="86" t="str">
        <x:v>Braskem customs history now loaded in Customs Imports; distinct reporting basis.</x:v>
      </x:c>
      <x:c r="M20" s="207" t="str">
        <x:v>https://www.gov.br/anp/pt-br/centrais-de-conteudo/dados-abertos/arquivos/ie/derivados/importacoes-exportacoes-derivados-2000-2025.csv</x:v>
      </x:c>
      <x:c r="N20" s="86" t="str">
        <x:v>ANP CSV fetched Oct-1; revised January–July and added August. National imports, not Braskem-specific.</x:v>
      </x:c>
    </x:row>
    <x:row r="21">
      <x:c r="A21" s="205" t="n">
        <x:v>46266</x:v>
      </x:c>
      <x:c r="B21" s="280"/>
      <x:c r="C21" s="280"/>
      <x:c r="D21" s="280"/>
      <x:c r="E21" s="280"/>
      <x:c r="F21" s="280"/>
      <x:c r="G21" s="86" t="str">
        <x:v>Sep Beautiful Future; completion unresolved</x:v>
      </x:c>
      <x:c r="H21" s="86"/>
      <x:c r="I21" s="86"/>
      <x:c r="J21" s="86"/>
      <x:c r="K21" s="206" t="n">
        <x:f>Arrivals!G11</x:f>
        <x:v>56.617101</x:v>
      </x:c>
      <x:c r="L21" s="86" t="str">
        <x:v>Partial port capture; customs data through August only</x:v>
      </x:c>
      <x:c r="M21" s="207" t="str">
        <x:v>https://codeba.gov.br/eficiente/sites/portalcodeba/pt-br/porto_aratu.php?secao=tportos_aratu</x:v>
      </x:c>
      <x:c r="N21" s="86" t="str">
        <x:v>Oct-12: Beautiful Future and Cedar Express absent; completion unverified. October planned queue 123.7kt. Pine reappeared with same DUV; quantity now 7.7kt.</x:v>
      </x:c>
    </x:row>
    <x:row r="22">
      <x:c r="A22" s="233" t="str">
        <x:v>Investment Read-Through</x:v>
      </x:c>
      <x:c r="B22" s="233"/>
      <x:c r="C22" s="233"/>
      <x:c r="D22" s="233"/>
      <x:c r="E22" s="233"/>
      <x:c r="F22" s="233"/>
      <x:c r="G22" s="233"/>
      <x:c r="H22" s="233"/>
      <x:c r="I22" s="233"/>
      <x:c r="J22" s="233"/>
      <x:c r="K22" s="233"/>
      <x:c r="L22" s="233"/>
      <x:c r="M22" s="233"/>
      <x:c r="N22" s="233"/>
    </x:row>
    <x:row r="23" ht="22" customHeight="1">
      <x:c r="A23" s="59" t="str">
        <x:v>Braskem-specific customs data now show Q2 petrochemical naphtha clearances 44.4% below Q1 and an August rebound to 240.4kt, up 35.8% from July. August remains 20.9% below the Q1 monthly average. These actual-kg clearances support a procurement recovery but do not prove the cause of the Q2 decline or incremental supply from the Future fleet. Current vessel evidence: Beautiful Future live, Blooming Future and Cedar Express scheduled. Customs timing, national m³ statistics and physical port receipts are distinct.</x:v>
      </x:c>
      <x:c r="B23" s="59"/>
      <x:c r="C23" s="59"/>
      <x:c r="D23" s="59"/>
      <x:c r="E23" s="59"/>
      <x:c r="F23" s="59"/>
      <x:c r="G23" s="59"/>
      <x:c r="H23" s="59"/>
      <x:c r="I23" s="59"/>
      <x:c r="J23" s="59"/>
      <x:c r="K23" s="59"/>
      <x:c r="L23" s="59"/>
      <x:c r="M23" s="59"/>
      <x:c r="N23" s="59"/>
    </x:row>
    <x:row r="24" ht="22" customHeight="1">
      <x:c r="A24" s="59"/>
      <x:c r="B24" s="59"/>
      <x:c r="C24" s="59"/>
      <x:c r="D24" s="59"/>
      <x:c r="E24" s="59"/>
      <x:c r="F24" s="59"/>
      <x:c r="G24" s="59"/>
      <x:c r="H24" s="59"/>
      <x:c r="I24" s="59"/>
      <x:c r="J24" s="59"/>
      <x:c r="K24" s="59"/>
      <x:c r="L24" s="59"/>
      <x:c r="M24" s="59"/>
      <x:c r="N24" s="59"/>
    </x:row>
    <x:row r="25" ht="22" customHeight="1">
      <x:c r="A25" s="59"/>
      <x:c r="B25" s="59"/>
      <x:c r="C25" s="59"/>
      <x:c r="D25" s="59"/>
      <x:c r="E25" s="59"/>
      <x:c r="F25" s="59"/>
      <x:c r="G25" s="59"/>
      <x:c r="H25" s="59"/>
      <x:c r="I25" s="59"/>
      <x:c r="J25" s="59"/>
      <x:c r="K25" s="59"/>
      <x:c r="L25" s="59"/>
      <x:c r="M25" s="59"/>
      <x:c r="N25" s="59"/>
    </x:row>
    <x:row r="26" ht="22" customHeight="1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  <x:c r="K26" s="59"/>
      <x:c r="L26" s="59"/>
      <x:c r="M26" s="59"/>
      <x:c r="N26" s="59"/>
    </x:row>
    <x:row r="27" ht="22" customHeight="1">
      <x:c r="A27" s="59"/>
      <x:c r="B27" s="59"/>
      <x:c r="C27" s="59"/>
      <x:c r="D27" s="59"/>
      <x:c r="E27" s="59"/>
      <x:c r="F27" s="59"/>
      <x:c r="G27" s="59"/>
      <x:c r="H27" s="59"/>
      <x:c r="I27" s="59"/>
      <x:c r="J27" s="59"/>
      <x:c r="K27" s="59"/>
      <x:c r="L27" s="59"/>
      <x:c r="M27" s="59"/>
      <x:c r="N27" s="59"/>
    </x:row>
    <x:row r="29">
      <x:c r="A29" s="233" t="str">
        <x:v>Official Sources</x:v>
      </x:c>
      <x:c r="B29" s="233"/>
      <x:c r="C29" s="233"/>
      <x:c r="D29" s="233"/>
      <x:c r="E29" s="233"/>
      <x:c r="F29" s="233"/>
      <x:c r="G29" s="233"/>
      <x:c r="H29" s="233"/>
      <x:c r="I29" s="233"/>
      <x:c r="J29" s="233"/>
      <x:c r="K29" s="233"/>
      <x:c r="L29" s="233"/>
      <x:c r="M29" s="233"/>
      <x:c r="N29" s="233"/>
    </x:row>
    <x:row r="30">
      <x:c r="A30" s="238" t="str">
        <x:v>Source</x:v>
      </x:c>
      <x:c r="B30" s="238" t="str">
        <x:v>What it provides</x:v>
      </x:c>
      <x:c r="C30" s="238" t="str">
        <x:v>URL</x:v>
      </x:c>
      <x:c r="D30" s="238" t="str">
        <x:v>Status</x:v>
      </x:c>
    </x:row>
    <x:row r="31" ht="32" customHeight="1">
      <x:c r="A31" s="86" t="str">
        <x:v>ANP national imports</x:v>
      </x:c>
      <x:c r="B31" s="86" t="str">
        <x:v>Monthly national naphtha imports in m³ through Aug-26</x:v>
      </x:c>
      <x:c r="C31" s="207" t="str">
        <x:v>https://www.gov.br/anp/pt-br/centrais-de-conteudo/dados-abertos/arquivos/ie/derivados/importacoes-exportacoes-derivados-2000-2025.csv/view</x:v>
      </x:c>
      <x:c r="D31" s="86" t="str">
        <x:v>Rechecked Oct-12; national file unchanged through August.</x:v>
      </x:c>
    </x:row>
    <x:row r="32" ht="32" customHeight="1">
      <x:c r="A32" s="86" t="str">
        <x:v>ANP customs clearances</x:v>
      </x:c>
      <x:c r="B32" s="86" t="str">
        <x:v>Importer / NCM / customs office / origin / kg through Aug-26</x:v>
      </x:c>
      <x:c r="C32" s="207" t="str">
        <x:v>https://www.gov.br/anp/pt-br/assuntos/importacoes-e-exportacoes/arquivos-desembaracos/desembaraco-2026.xlsx</x:v>
      </x:c>
      <x:c r="D32" s="86" t="str">
        <x:v>Rechecked Oct-12; customs file unchanged through August.</x:v>
      </x:c>
    </x:row>
    <x:row r="33" ht="32" customHeight="1">
      <x:c r="A33" s="86" t="str">
        <x:v>ANP terminal movement</x:v>
      </x:c>
      <x:c r="B33" s="86" t="str">
        <x:v>Monthly terminal receipt/delivery volumes from Sep-2022 onward</x:v>
      </x:c>
      <x:c r="C33" s="207" t="str">
        <x:v>https://www.gov.br/anp/pt-br/centrais-de-conteudo/dados-abertos/movimentacao-dos-terminais-aquaviarios</x:v>
      </x:c>
      <x:c r="D33" s="86" t="str">
        <x:v>Available; use for terminal reconciliation</x:v>
      </x:c>
    </x:row>
    <x:row r="34" ht="32" customHeight="1">
      <x:c r="A34" s="86" t="str">
        <x:v>CODEBA Aratu</x:v>
      </x:c>
      <x:c r="B34" s="86" t="str">
        <x:v>Current / near-forward vessel, cargo, quantity, operator</x:v>
      </x:c>
      <x:c r="C34" s="207" t="str">
        <x:v>https://codeba.gov.br/eficiente/sites/portalcodeba/pt-br/porto_aratu.php?secao=tportos_aratu</x:v>
      </x:c>
      <x:c r="D34" s="86" t="str">
        <x:v>Schedule refreshed Oct-12; four current calls, 123.7kt planned.</x:v>
      </x:c>
    </x:row>
  </x:sheetData>
  <x:mergeCells>
    <x:mergeCell ref="A1:N1"/>
    <x:mergeCell ref="A2:N2"/>
    <x:mergeCell ref="A4:N4"/>
    <x:mergeCell ref="A22:N22"/>
    <x:mergeCell ref="A23:N27"/>
    <x:mergeCell ref="A29:N29"/>
  </x:mergeCells>
  <x:conditionalFormatting sqref="B10:B10">
    <x:cfRule type="expression" dxfId="9" priority="1">
      <x:formula>$B$10="DOWN"</x:formula>
    </x:cfRule>
    <x:cfRule type="expression" dxfId="10" priority="2">
      <x:formula>$B$10="UP"</x:formula>
    </x:cfRule>
  </x:conditionalFormatting>
  <x:pageMargins left="0.7" right="0.7" top="0.75" bottom="0.75" header="0.3" footer="0.3"/>
  <x:drawing xmlns:r="http://schemas.openxmlformats.org/officeDocument/2006/relationships" r:id="Ra33e44594fda4304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39" hidden="0" customWidth="1"/>
    <x:col min="3" max="3" width="22" hidden="0" customWidth="1"/>
    <x:col min="4" max="4" width="22" hidden="0" customWidth="1"/>
    <x:col min="5" max="5" width="22" hidden="0" customWidth="1"/>
    <x:col min="6" max="6" width="30" hidden="0" customWidth="1"/>
    <x:col min="7" max="7" width="30" hidden="0" customWidth="1"/>
    <x:col min="8" max="8" width="30" hidden="0" customWidth="1"/>
    <x:col min="9" max="9" width="27" hidden="0" customWidth="1"/>
  </x:cols>
  <x:sheetData>
    <x:row r="1">
      <x:c r="A1" s="301" t="str">
        <x:v>Brazil naphtha customs clearances — January–August 2026</x:v>
      </x:c>
      <x:c r="B1" s="300"/>
      <x:c r="C1" s="300"/>
      <x:c r="D1" s="300"/>
      <x:c r="E1" s="300"/>
      <x:c r="F1" s="300"/>
      <x:c r="G1" s="300"/>
      <x:c r="H1" s="300"/>
      <x:c r="I1" s="300"/>
    </x:row>
    <x:row r="2" ht="30" customHeight="1">
      <x:c r="A2" s="302" t="str">
        <x:v>Braskem petrochemical naphtha: NCM 27101241. Other naphthas (27101249) shown separately. Actual kg; no density conversion.</x:v>
      </x:c>
      <x:c r="B2" s="302"/>
      <x:c r="C2" s="302"/>
      <x:c r="D2" s="302"/>
      <x:c r="E2" s="302"/>
      <x:c r="F2" s="302"/>
      <x:c r="G2" s="302"/>
      <x:c r="H2" s="302"/>
      <x:c r="I2" s="302"/>
    </x:row>
    <x:row r="3">
      <x:c r="A3" s="300"/>
      <x:c r="B3" s="300"/>
      <x:c r="C3" s="300"/>
      <x:c r="D3" s="300"/>
      <x:c r="E3" s="300"/>
      <x:c r="F3" s="300"/>
      <x:c r="G3" s="300"/>
      <x:c r="H3" s="300"/>
      <x:c r="I3" s="300"/>
    </x:row>
    <x:row r="4" ht="32" customHeight="1">
      <x:c r="A4" s="305" t="str">
        <x:v>Month</x:v>
      </x:c>
      <x:c r="B4" s="305" t="str">
        <x:v>Braskem (kt)</x:v>
      </x:c>
      <x:c r="C4" s="305" t="str">
        <x:v>Other petrochemical (kt)</x:v>
      </x:c>
      <x:c r="D4" s="305" t="str">
        <x:v>Other naphthas (kt)</x:v>
      </x:c>
      <x:c r="E4" s="305" t="str">
        <x:v>Total both NCMs (kt)</x:v>
      </x:c>
      <x:c r="F4" s="305" t="str">
        <x:v>Braskem MoM</x:v>
      </x:c>
      <x:c r="G4" s="305" t="str">
        <x:v>US origin (kt)</x:v>
      </x:c>
      <x:c r="H4" s="305" t="str">
        <x:v>US share</x:v>
      </x:c>
      <x:c r="I4" s="305" t="str">
        <x:v>Braskem 3M annualized (Mt)</x:v>
      </x:c>
    </x:row>
    <x:row r="5">
      <x:c r="A5" s="306" t="n">
        <x:v>46023</x:v>
      </x:c>
      <x:c r="B5" s="307" t="n">
        <x:f>SUMIFS($I$26:$I$168,$A$26:$A$168,MONTH(A5),$B$26:$B$168,"BRASKEM S.A",$E$26:$E$168,"27101241")/1000000</x:f>
        <x:v>281.003845</x:v>
      </x:c>
      <x:c r="C5" s="307" t="n">
        <x:f>SUMIFS($I$26:$I$168,$A$26:$A$168,MONTH(A5),$B$26:$B$168,"&lt;&gt;BRASKEM S.A",$E$26:$E$168,"27101241")/1000000</x:f>
        <x:v>0</x:v>
      </x:c>
      <x:c r="D5" s="307" t="n">
        <x:f>SUMIFS($I$26:$I$168,$A$26:$A$168,MONTH(A5),$E$26:$E$168,"27101249")/1000000</x:f>
        <x:v>29.683892976400003</x:v>
      </x:c>
      <x:c r="E5" s="307" t="n">
        <x:f>SUM(B5:D5)</x:f>
        <x:v>310.6877379764</x:v>
      </x:c>
      <x:c r="F5" s="308"/>
      <x:c r="G5" s="307" t="n">
        <x:f>SUMIFS($I$26:$I$168,$A$26:$A$168,MONTH(A5),$B$26:$B$168,"BRASKEM S.A",$E$26:$E$168,"27101241",$H$26:$H$168,"ESTADOS UNIDOS")/1000000</x:f>
        <x:v>222.47491</x:v>
      </x:c>
      <x:c r="H5" s="308" t="n">
        <x:f>G5/B5</x:f>
        <x:v>0.7917148251120905</x:v>
      </x:c>
      <x:c r="I5" s="309"/>
    </x:row>
    <x:row r="6">
      <x:c r="A6" s="306" t="n">
        <x:v>46054</x:v>
      </x:c>
      <x:c r="B6" s="307" t="n">
        <x:f>SUMIFS($I$26:$I$168,$A$26:$A$168,MONTH(A6),$B$26:$B$168,"BRASKEM S.A",$E$26:$E$168,"27101241")/1000000</x:f>
        <x:v>310.570939</x:v>
      </x:c>
      <x:c r="C6" s="307" t="n">
        <x:f>SUMIFS($I$26:$I$168,$A$26:$A$168,MONTH(A6),$B$26:$B$168,"&lt;&gt;BRASKEM S.A",$E$26:$E$168,"27101241")/1000000</x:f>
        <x:v>0</x:v>
      </x:c>
      <x:c r="D6" s="307" t="n">
        <x:f>SUMIFS($I$26:$I$168,$A$26:$A$168,MONTH(A6),$E$26:$E$168,"27101249")/1000000</x:f>
        <x:v>0.292699364</x:v>
      </x:c>
      <x:c r="E6" s="307" t="n">
        <x:f>SUM(B6:D6)</x:f>
        <x:v>310.863638364</x:v>
      </x:c>
      <x:c r="F6" s="308" t="n">
        <x:f>B6/B5-1</x:f>
        <x:v>0.10521953534123352</x:v>
      </x:c>
      <x:c r="G6" s="307" t="n">
        <x:f>SUMIFS($I$26:$I$168,$A$26:$A$168,MONTH(A6),$B$26:$B$168,"BRASKEM S.A",$E$26:$E$168,"27101241",$H$26:$H$168,"ESTADOS UNIDOS")/1000000</x:f>
        <x:v>274.462003</x:v>
      </x:c>
      <x:c r="H6" s="308" t="n">
        <x:f>G6/B6</x:f>
        <x:v>0.883733693447731</x:v>
      </x:c>
      <x:c r="I6" s="309"/>
    </x:row>
    <x:row r="7">
      <x:c r="A7" s="306" t="n">
        <x:v>46082</x:v>
      </x:c>
      <x:c r="B7" s="307" t="n">
        <x:f>SUMIFS($I$26:$I$168,$A$26:$A$168,MONTH(A7),$B$26:$B$168,"BRASKEM S.A",$E$26:$E$168,"27101241")/1000000</x:f>
        <x:v>320.261462</x:v>
      </x:c>
      <x:c r="C7" s="307" t="n">
        <x:f>SUMIFS($I$26:$I$168,$A$26:$A$168,MONTH(A7),$B$26:$B$168,"&lt;&gt;BRASKEM S.A",$E$26:$E$168,"27101241")/1000000</x:f>
        <x:v>0</x:v>
      </x:c>
      <x:c r="D7" s="307" t="n">
        <x:f>SUMIFS($I$26:$I$168,$A$26:$A$168,MONTH(A7),$E$26:$E$168,"27101249")/1000000</x:f>
        <x:v>38.390500218999996</x:v>
      </x:c>
      <x:c r="E7" s="307" t="n">
        <x:f>SUM(B7:D7)</x:f>
        <x:v>358.651962219</x:v>
      </x:c>
      <x:c r="F7" s="308" t="n">
        <x:f>B7/B6-1</x:f>
        <x:v>0.031202285156500142</x:v>
      </x:c>
      <x:c r="G7" s="307" t="n">
        <x:f>SUMIFS($I$26:$I$168,$A$26:$A$168,MONTH(A7),$B$26:$B$168,"BRASKEM S.A",$E$26:$E$168,"27101241",$H$26:$H$168,"ESTADOS UNIDOS")/1000000</x:f>
        <x:v>282.699778</x:v>
      </x:c>
      <x:c r="H7" s="308" t="n">
        <x:f>G7/B7</x:f>
        <x:v>0.8827155669451106</x:v>
      </x:c>
      <x:c r="I7" s="309" t="n">
        <x:f>SUM(B5:B7)*4/1000</x:f>
        <x:v>3.6473449840000005</x:v>
      </x:c>
    </x:row>
    <x:row r="8">
      <x:c r="A8" s="306" t="n">
        <x:v>46113</x:v>
      </x:c>
      <x:c r="B8" s="307" t="n">
        <x:f>SUMIFS($I$26:$I$168,$A$26:$A$168,MONTH(A8),$B$26:$B$168,"BRASKEM S.A",$E$26:$E$168,"27101241")/1000000</x:f>
        <x:v>206.322815</x:v>
      </x:c>
      <x:c r="C8" s="307" t="n">
        <x:f>SUMIFS($I$26:$I$168,$A$26:$A$168,MONTH(A8),$B$26:$B$168,"&lt;&gt;BRASKEM S.A",$E$26:$E$168,"27101241")/1000000</x:f>
        <x:v>0</x:v>
      </x:c>
      <x:c r="D8" s="307" t="n">
        <x:f>SUMIFS($I$26:$I$168,$A$26:$A$168,MONTH(A8),$E$26:$E$168,"27101249")/1000000</x:f>
        <x:v>0.7020733539899999</x:v>
      </x:c>
      <x:c r="E8" s="307" t="n">
        <x:f>SUM(B8:D8)</x:f>
        <x:v>207.02488835398998</x:v>
      </x:c>
      <x:c r="F8" s="308" t="n">
        <x:f>B8/B7-1</x:f>
        <x:v>-0.3557675852987894</x:v>
      </x:c>
      <x:c r="G8" s="307" t="n">
        <x:f>SUMIFS($I$26:$I$168,$A$26:$A$168,MONTH(A8),$B$26:$B$168,"BRASKEM S.A",$E$26:$E$168,"27101241",$H$26:$H$168,"ESTADOS UNIDOS")/1000000</x:f>
        <x:v>169.922025</x:v>
      </x:c>
      <x:c r="H8" s="308" t="n">
        <x:f>G8/B8</x:f>
        <x:v>0.8235736072135309</x:v>
      </x:c>
      <x:c r="I8" s="309" t="n">
        <x:f>SUM(B6:B8)*4/1000</x:f>
        <x:v>3.348620864</x:v>
      </x:c>
    </x:row>
    <x:row r="9">
      <x:c r="A9" s="306" t="n">
        <x:v>46143</x:v>
      </x:c>
      <x:c r="B9" s="307" t="n">
        <x:f>SUMIFS($I$26:$I$168,$A$26:$A$168,MONTH(A9),$B$26:$B$168,"BRASKEM S.A",$E$26:$E$168,"27101241")/1000000</x:f>
        <x:v>95.245213</x:v>
      </x:c>
      <x:c r="C9" s="307" t="n">
        <x:f>SUMIFS($I$26:$I$168,$A$26:$A$168,MONTH(A9),$B$26:$B$168,"&lt;&gt;BRASKEM S.A",$E$26:$E$168,"27101241")/1000000</x:f>
        <x:v>0</x:v>
      </x:c>
      <x:c r="D9" s="307" t="n">
        <x:f>SUMIFS($I$26:$I$168,$A$26:$A$168,MONTH(A9),$E$26:$E$168,"27101249")/1000000</x:f>
        <x:v>0.494679168</x:v>
      </x:c>
      <x:c r="E9" s="307" t="n">
        <x:f>SUM(B9:D9)</x:f>
        <x:v>95.73989216800001</x:v>
      </x:c>
      <x:c r="F9" s="308" t="n">
        <x:f>B9/B8-1</x:f>
        <x:v>-0.5383680035579196</x:v>
      </x:c>
      <x:c r="G9" s="307" t="n">
        <x:f>SUMIFS($I$26:$I$168,$A$26:$A$168,MONTH(A9),$B$26:$B$168,"BRASKEM S.A",$E$26:$E$168,"27101241",$H$26:$H$168,"ESTADOS UNIDOS")/1000000</x:f>
        <x:v>57.965585</x:v>
      </x:c>
      <x:c r="H9" s="308" t="n">
        <x:f>G9/B9</x:f>
        <x:v>0.6085931583774189</x:v>
      </x:c>
      <x:c r="I9" s="309" t="n">
        <x:f>SUM(B7:B9)*4/1000</x:f>
        <x:v>2.48731796</x:v>
      </x:c>
    </x:row>
    <x:row r="10">
      <x:c r="A10" s="306" t="n">
        <x:v>46174</x:v>
      </x:c>
      <x:c r="B10" s="307" t="n">
        <x:f>SUMIFS($I$26:$I$168,$A$26:$A$168,MONTH(A10),$B$26:$B$168,"BRASKEM S.A",$E$26:$E$168,"27101241")/1000000</x:f>
        <x:v>205.791905</x:v>
      </x:c>
      <x:c r="C10" s="307" t="n">
        <x:f>SUMIFS($I$26:$I$168,$A$26:$A$168,MONTH(A10),$B$26:$B$168,"&lt;&gt;BRASKEM S.A",$E$26:$E$168,"27101241")/1000000</x:f>
        <x:v>0</x:v>
      </x:c>
      <x:c r="D10" s="307" t="n">
        <x:f>SUMIFS($I$26:$I$168,$A$26:$A$168,MONTH(A10),$E$26:$E$168,"27101249")/1000000</x:f>
        <x:v>34.543502332</x:v>
      </x:c>
      <x:c r="E10" s="307" t="n">
        <x:f>SUM(B10:D10)</x:f>
        <x:v>240.33540733200002</x:v>
      </x:c>
      <x:c r="F10" s="308" t="n">
        <x:f>B10/B9-1</x:f>
        <x:v>1.160653522817992</x:v>
      </x:c>
      <x:c r="G10" s="307" t="n">
        <x:f>SUMIFS($I$26:$I$168,$A$26:$A$168,MONTH(A10),$B$26:$B$168,"BRASKEM S.A",$E$26:$E$168,"27101241",$H$26:$H$168,"ESTADOS UNIDOS")/1000000</x:f>
        <x:v>170.718379</x:v>
      </x:c>
      <x:c r="H10" s="308" t="n">
        <x:f>G10/B10</x:f>
        <x:v>0.8295679997714195</x:v>
      </x:c>
      <x:c r="I10" s="309" t="n">
        <x:f>SUM(B8:B10)*4/1000</x:f>
        <x:v>2.029439732</x:v>
      </x:c>
    </x:row>
    <x:row r="11">
      <x:c r="A11" s="306" t="n">
        <x:v>46204</x:v>
      </x:c>
      <x:c r="B11" s="307" t="n">
        <x:f>SUMIFS($I$26:$I$168,$A$26:$A$168,MONTH(A11),$B$26:$B$168,"BRASKEM S.A",$E$26:$E$168,"27101241")/1000000</x:f>
        <x:v>176.993941</x:v>
      </x:c>
      <x:c r="C11" s="307" t="n">
        <x:f>SUMIFS($I$26:$I$168,$A$26:$A$168,MONTH(A11),$B$26:$B$168,"&lt;&gt;BRASKEM S.A",$E$26:$E$168,"27101241")/1000000</x:f>
        <x:v>0</x:v>
      </x:c>
      <x:c r="D11" s="307" t="n">
        <x:f>SUMIFS($I$26:$I$168,$A$26:$A$168,MONTH(A11),$E$26:$E$168,"27101249")/1000000</x:f>
        <x:v>36.700510636</x:v>
      </x:c>
      <x:c r="E11" s="307" t="n">
        <x:f>SUM(B11:D11)</x:f>
        <x:v>213.694451636</x:v>
      </x:c>
      <x:c r="F11" s="308" t="n">
        <x:f>B11/B10-1</x:f>
        <x:v>-0.1399373021985486</x:v>
      </x:c>
      <x:c r="G11" s="307" t="n">
        <x:f>SUMIFS($I$26:$I$168,$A$26:$A$168,MONTH(A11),$B$26:$B$168,"BRASKEM S.A",$E$26:$E$168,"27101241",$H$26:$H$168,"ESTADOS UNIDOS")/1000000</x:f>
        <x:v>115.621163</x:v>
      </x:c>
      <x:c r="H11" s="308" t="n">
        <x:f>G11/B11</x:f>
        <x:v>0.6532492713973751</x:v>
      </x:c>
      <x:c r="I11" s="309" t="n">
        <x:f>SUM(B9:B11)*4/1000</x:f>
        <x:v>1.9121242360000001</x:v>
      </x:c>
    </x:row>
    <x:row r="12">
      <x:c r="A12" s="306" t="n">
        <x:v>46235</x:v>
      </x:c>
      <x:c r="B12" s="307" t="n">
        <x:f>SUMIFS($I$26:$I$168,$A$26:$A$168,MONTH(A12),$B$26:$B$168,"BRASKEM S.A",$E$26:$E$168,"27101241")/1000000</x:f>
        <x:v>240.39366327599998</x:v>
      </x:c>
      <x:c r="C12" s="307" t="n">
        <x:f>SUMIFS($I$26:$I$168,$A$26:$A$168,MONTH(A12),$B$26:$B$168,"&lt;&gt;BRASKEM S.A",$E$26:$E$168,"27101241")/1000000</x:f>
        <x:v>0</x:v>
      </x:c>
      <x:c r="D12" s="307" t="n">
        <x:f>SUMIFS($I$26:$I$168,$A$26:$A$168,MONTH(A12),$E$26:$E$168,"27101249")/1000000</x:f>
        <x:v>0.2379094144</x:v>
      </x:c>
      <x:c r="E12" s="307" t="n">
        <x:f>SUM(B12:D12)</x:f>
        <x:v>240.6315726904</x:v>
      </x:c>
      <x:c r="F12" s="308" t="n">
        <x:f>B12/B11-1</x:f>
        <x:v>0.358202783201488</x:v>
      </x:c>
      <x:c r="G12" s="307" t="n">
        <x:f>SUMIFS($I$26:$I$168,$A$26:$A$168,MONTH(A12),$B$26:$B$168,"BRASKEM S.A",$E$26:$E$168,"27101241",$H$26:$H$168,"ESTADOS UNIDOS")/1000000</x:f>
        <x:v>128.610440276</x:v>
      </x:c>
      <x:c r="H12" s="308" t="n">
        <x:f>G12/B12</x:f>
        <x:v>0.5349992945876456</x:v>
      </x:c>
      <x:c r="I12" s="309" t="n">
        <x:f>SUM(B10:B12)*4/1000</x:f>
        <x:v>2.492718037104</x:v>
      </x:c>
    </x:row>
    <x:row r="13">
      <x:c r="A13" s="300"/>
      <x:c r="B13" s="300"/>
      <x:c r="C13" s="300"/>
      <x:c r="D13" s="300"/>
      <x:c r="E13" s="300"/>
      <x:c r="F13" s="300"/>
      <x:c r="G13" s="300"/>
      <x:c r="H13" s="300"/>
      <x:c r="I13" s="300"/>
    </x:row>
    <x:row r="14">
      <x:c r="A14" s="300" t="str">
        <x:v>Braskem Q1 monthly average (kt)</x:v>
      </x:c>
      <x:c r="B14" s="307" t="n">
        <x:f>AVERAGE(B5:B7)</x:f>
        <x:v>303.94541533333336</x:v>
      </x:c>
      <x:c r="C14" s="300"/>
      <x:c r="D14" s="300"/>
      <x:c r="E14" s="300"/>
      <x:c r="F14" s="300"/>
      <x:c r="G14" s="300"/>
      <x:c r="H14" s="300"/>
      <x:c r="I14" s="300"/>
    </x:row>
    <x:row r="15">
      <x:c r="A15" s="300" t="str">
        <x:v>August vs Q1 monthly average</x:v>
      </x:c>
      <x:c r="B15" s="308" t="n">
        <x:f>B12/B14-1</x:f>
        <x:v>-0.20908935898123981</x:v>
      </x:c>
      <x:c r="C15" s="300"/>
      <x:c r="D15" s="300"/>
      <x:c r="E15" s="300"/>
      <x:c r="F15" s="300"/>
      <x:c r="G15" s="300"/>
      <x:c r="H15" s="300"/>
      <x:c r="I15" s="300"/>
    </x:row>
    <x:row r="16">
      <x:c r="A16" s="300" t="str">
        <x:v>Braskem Jan–Aug total (kt)</x:v>
      </x:c>
      <x:c r="B16" s="307" t="n">
        <x:f>SUM(B5:B12)</x:f>
        <x:v>1836.5837832759998</x:v>
      </x:c>
      <x:c r="C16" s="300"/>
      <x:c r="D16" s="300"/>
      <x:c r="E16" s="300"/>
      <x:c r="F16" s="300"/>
      <x:c r="G16" s="300"/>
      <x:c r="H16" s="300"/>
      <x:c r="I16" s="300"/>
    </x:row>
    <x:row r="17">
      <x:c r="A17" s="300" t="str">
        <x:v>August clearance detail (kt)</x:v>
      </x:c>
      <x:c r="B17" s="300"/>
      <x:c r="C17" s="300"/>
      <x:c r="D17" s="300"/>
      <x:c r="E17" s="300"/>
      <x:c r="F17" s="300"/>
      <x:c r="G17" s="300"/>
      <x:c r="H17" s="300"/>
      <x:c r="I17" s="300"/>
    </x:row>
    <x:row r="18" ht="32" customHeight="1">
      <x:c r="A18" s="305" t="str">
        <x:v>Customs office</x:v>
      </x:c>
      <x:c r="B18" s="305" t="str">
        <x:v>Origin</x:v>
      </x:c>
      <x:c r="C18" s="305" t="str">
        <x:v>August Braskem (kt)</x:v>
      </x:c>
      <x:c r="D18" s="300"/>
      <x:c r="E18" s="300"/>
      <x:c r="F18" s="300"/>
      <x:c r="G18" s="300"/>
      <x:c r="H18" s="300"/>
      <x:c r="I18" s="300"/>
    </x:row>
    <x:row r="19">
      <x:c r="A19" s="300" t="str">
        <x:v>ALF - SALVADOR</x:v>
      </x:c>
      <x:c r="B19" s="300" t="str">
        <x:v>ESTADOS UNIDOS</x:v>
      </x:c>
      <x:c r="C19" s="307" t="n">
        <x:f>SUMIFS($I$26:$I$168,$A$26:$A$168,8,$B$26:$B$168,"BRASKEM S.A",$E$26:$E$168,"27101241",$G$26:$G$168,A19,$H$26:$H$168,B19)/1000000</x:f>
        <x:v>128.610440276</x:v>
      </x:c>
      <x:c r="D19" s="300"/>
      <x:c r="E19" s="300"/>
      <x:c r="F19" s="300"/>
      <x:c r="G19" s="300"/>
      <x:c r="H19" s="300"/>
      <x:c r="I19" s="300"/>
    </x:row>
    <x:row r="20">
      <x:c r="A20" s="300" t="str">
        <x:v>ALF - PORTO ALEGRE</x:v>
      </x:c>
      <x:c r="B20" s="300" t="str">
        <x:v>ARGELIA</x:v>
      </x:c>
      <x:c r="C20" s="307" t="n">
        <x:f>SUMIFS($I$26:$I$168,$A$26:$A$168,8,$B$26:$B$168,"BRASKEM S.A",$E$26:$E$168,"27101241",$G$26:$G$168,A20,$H$26:$H$168,B20)/1000000</x:f>
        <x:v>85.411854</x:v>
      </x:c>
      <x:c r="D20" s="300"/>
      <x:c r="E20" s="300"/>
      <x:c r="F20" s="300"/>
      <x:c r="G20" s="300"/>
      <x:c r="H20" s="300"/>
      <x:c r="I20" s="300"/>
    </x:row>
    <x:row r="21">
      <x:c r="A21" s="300" t="str">
        <x:v>ALF - PORTO ALEGRE</x:v>
      </x:c>
      <x:c r="B21" s="300" t="str">
        <x:v>ARGENTINA</x:v>
      </x:c>
      <x:c r="C21" s="307" t="n">
        <x:f>SUMIFS($I$26:$I$168,$A$26:$A$168,8,$B$26:$B$168,"BRASKEM S.A",$E$26:$E$168,"27101241",$G$26:$G$168,A21,$H$26:$H$168,B21)/1000000</x:f>
        <x:v>26.371369</x:v>
      </x:c>
      <x:c r="D21" s="300"/>
      <x:c r="E21" s="300"/>
      <x:c r="F21" s="300"/>
      <x:c r="G21" s="300"/>
      <x:c r="H21" s="300"/>
      <x:c r="I21" s="300"/>
    </x:row>
    <x:row r="22">
      <x:c r="A22" s="300"/>
      <x:c r="B22" s="300"/>
      <x:c r="C22" s="300"/>
      <x:c r="D22" s="300"/>
      <x:c r="E22" s="300"/>
      <x:c r="F22" s="300"/>
      <x:c r="G22" s="300"/>
      <x:c r="H22" s="300"/>
      <x:c r="I22" s="300"/>
    </x:row>
    <x:row r="23" ht="40" customHeight="1">
      <x:c r="A23" s="302" t="str">
        <x:v>Source: ANP Relatório de Desembaraços, “DESEMB - ago - 2026”; retrieved 28-Sep-2026. https://www.gov.br/anp/pt-br/assuntos/importacoes-e-exportacoes/arquivos-desembaracos/desembaraco-2026.xlsx</x:v>
      </x:c>
      <x:c r="B23" s="302"/>
      <x:c r="C23" s="302"/>
      <x:c r="D23" s="302"/>
      <x:c r="E23" s="302"/>
      <x:c r="F23" s="302"/>
      <x:c r="G23" s="302"/>
      <x:c r="H23" s="302"/>
      <x:c r="I23" s="302"/>
    </x:row>
    <x:row r="24" ht="30" customHeight="1">
      <x:c r="A24" s="302" t="str">
        <x:v>Clearance month differs from physical discharge. Customs office is not a vessel terminal. Do not add customs totals to ANP m³ or port receipts.</x:v>
      </x:c>
      <x:c r="B24" s="302"/>
      <x:c r="C24" s="302"/>
      <x:c r="D24" s="302"/>
      <x:c r="E24" s="302"/>
      <x:c r="F24" s="302"/>
      <x:c r="G24" s="302"/>
      <x:c r="H24" s="302"/>
      <x:c r="I24" s="302"/>
    </x:row>
    <x:row r="25" ht="32" customHeight="1">
      <x:c r="A25" s="305" t="str">
        <x:v>Clearance month</x:v>
      </x:c>
      <x:c r="B25" s="305" t="str">
        <x:v>Importer</x:v>
      </x:c>
      <x:c r="C25" s="305" t="str">
        <x:v>CNPJ</x:v>
      </x:c>
      <x:c r="D25" s="305" t="str">
        <x:v>CNPJ state</x:v>
      </x:c>
      <x:c r="E25" s="305" t="str">
        <x:v>NCM</x:v>
      </x:c>
      <x:c r="F25" s="305" t="str">
        <x:v>NCM description</x:v>
      </x:c>
      <x:c r="G25" s="305" t="str">
        <x:v>Customs office</x:v>
      </x:c>
      <x:c r="H25" s="305" t="str">
        <x:v>Origin country</x:v>
      </x:c>
      <x:c r="I25" s="305" t="str">
        <x:v>Quantity (kg)</x:v>
      </x:c>
    </x:row>
    <x:row r="26">
      <x:c r="A26" s="300" t="n">
        <x:v>1</x:v>
      </x:c>
      <x:c r="B26" s="300" t="str">
        <x:v>BRASKEM S.A</x:v>
      </x:c>
      <x:c r="C26" s="300" t="str">
        <x:v>42150391000170</x:v>
      </x:c>
      <x:c r="D26" s="300" t="str">
        <x:v>BA</x:v>
      </x:c>
      <x:c r="E26" s="300" t="str">
        <x:v>27101241</x:v>
      </x:c>
      <x:c r="F26" s="300" t="str">
        <x:v>Naftas para petroquimica</x:v>
      </x:c>
      <x:c r="G26" s="300" t="str">
        <x:v>ALF - SALVADOR</x:v>
      </x:c>
      <x:c r="H26" s="300" t="str">
        <x:v>CANARIAS</x:v>
      </x:c>
      <x:c r="I26" s="310" t="n">
        <x:v>58528935</x:v>
      </x:c>
    </x:row>
    <x:row r="27">
      <x:c r="A27" s="300" t="n">
        <x:v>1</x:v>
      </x:c>
      <x:c r="B27" s="300" t="str">
        <x:v>BRASKEM S.A</x:v>
      </x:c>
      <x:c r="C27" s="300" t="str">
        <x:v>42150391000170</x:v>
      </x:c>
      <x:c r="D27" s="300" t="str">
        <x:v>BA</x:v>
      </x:c>
      <x:c r="E27" s="300" t="str">
        <x:v>27101241</x:v>
      </x:c>
      <x:c r="F27" s="300" t="str">
        <x:v>Naftas para petroquimica</x:v>
      </x:c>
      <x:c r="G27" s="300" t="str">
        <x:v>ALF - SALVADOR</x:v>
      </x:c>
      <x:c r="H27" s="300" t="str">
        <x:v>ESTADOS UNIDOS</x:v>
      </x:c>
      <x:c r="I27" s="310" t="n">
        <x:v>82865844</x:v>
      </x:c>
    </x:row>
    <x:row r="28">
      <x:c r="A28" s="300" t="n">
        <x:v>1</x:v>
      </x:c>
      <x:c r="B28" s="300" t="str">
        <x:v>BRASKEM S.A</x:v>
      </x:c>
      <x:c r="C28" s="300" t="str">
        <x:v>42150391003862</x:v>
      </x:c>
      <x:c r="D28" s="300" t="str">
        <x:v>RS</x:v>
      </x:c>
      <x:c r="E28" s="300" t="str">
        <x:v>27101241</x:v>
      </x:c>
      <x:c r="F28" s="300" t="str">
        <x:v>Naftas para petroquimica</x:v>
      </x:c>
      <x:c r="G28" s="300" t="str">
        <x:v>ALF - PORTO ALEGRE</x:v>
      </x:c>
      <x:c r="H28" s="300" t="str">
        <x:v>ESTADOS UNIDOS</x:v>
      </x:c>
      <x:c r="I28" s="310" t="n">
        <x:v>139609066</x:v>
      </x:c>
    </x:row>
    <x:row r="29">
      <x:c r="A29" s="300" t="n">
        <x:v>1</x:v>
      </x:c>
      <x:c r="B29" s="300" t="str">
        <x:v>BRENNTAG QUIMICA BRASIL LTDA.</x:v>
      </x:c>
      <x:c r="C29" s="300" t="str">
        <x:v>33391434001603</x:v>
      </x:c>
      <x:c r="D29" s="300" t="str">
        <x:v>RS</x:v>
      </x:c>
      <x:c r="E29" s="300" t="str">
        <x:v>27101249</x:v>
      </x:c>
      <x:c r="F29" s="300" t="str">
        <x:v>Outras</x:v>
      </x:c>
      <x:c r="G29" s="300" t="str">
        <x:v>ALF-Uruguaiana</x:v>
      </x:c>
      <x:c r="H29" s="300" t="str">
        <x:v>ARGENTINA</x:v>
      </x:c>
      <x:c r="I29" s="310" t="n">
        <x:v>74680</x:v>
      </x:c>
    </x:row>
    <x:row r="30">
      <x:c r="A30" s="300" t="n">
        <x:v>1</x:v>
      </x:c>
      <x:c r="B30" s="300" t="str">
        <x:v>CHESTERTON  DO BRASIL EIRELI</x:v>
      </x:c>
      <x:c r="C30" s="300" t="str">
        <x:v>01724535000178</x:v>
      </x:c>
      <x:c r="D30" s="300" t="str">
        <x:v>SP</x:v>
      </x:c>
      <x:c r="E30" s="300" t="str">
        <x:v>27101249</x:v>
      </x:c>
      <x:c r="F30" s="300" t="str">
        <x:v>Outras</x:v>
      </x:c>
      <x:c r="G30" s="300" t="str">
        <x:v>ALF-Porto de Santos</x:v>
      </x:c>
      <x:c r="H30" s="300" t="str">
        <x:v>ESTADOS UNIDOS</x:v>
      </x:c>
      <x:c r="I30" s="310" t="n">
        <x:v>6.6384</x:v>
      </x:c>
    </x:row>
    <x:row r="31">
      <x:c r="A31" s="300" t="n">
        <x:v>1</x:v>
      </x:c>
      <x:c r="B31" s="300" t="str">
        <x:v>GOL LINHAS AEREAS S.A.</x:v>
      </x:c>
      <x:c r="C31" s="300" t="str">
        <x:v>07575651003689</x:v>
      </x:c>
      <x:c r="D31" s="300" t="str">
        <x:v>MG</x:v>
      </x:c>
      <x:c r="E31" s="300" t="str">
        <x:v>27101249</x:v>
      </x:c>
      <x:c r="F31" s="300" t="str">
        <x:v>Outras</x:v>
      </x:c>
      <x:c r="G31" s="300" t="str">
        <x:v>ALF-Belo Horizonte</x:v>
      </x:c>
      <x:c r="H31" s="300" t="str">
        <x:v>ESTADOS UNIDOS</x:v>
      </x:c>
      <x:c r="I31" s="310" t="n">
        <x:v>123.53</x:v>
      </x:c>
    </x:row>
    <x:row r="32">
      <x:c r="A32" s="300" t="n">
        <x:v>1</x:v>
      </x:c>
      <x:c r="B32" s="300" t="str">
        <x:v>INTERNATIONAL COMMODITIES TRADING LTDA</x:v>
      </x:c>
      <x:c r="C32" s="300" t="str">
        <x:v>44303728000753</x:v>
      </x:c>
      <x:c r="D32" s="300" t="str">
        <x:v>SC</x:v>
      </x:c>
      <x:c r="E32" s="300" t="str">
        <x:v>27101249</x:v>
      </x:c>
      <x:c r="F32" s="300" t="str">
        <x:v>Outras</x:v>
      </x:c>
      <x:c r="G32" s="300" t="str">
        <x:v>ALF-Dionísio Cerqueira</x:v>
      </x:c>
      <x:c r="H32" s="300" t="str">
        <x:v>ARGENTINA</x:v>
      </x:c>
      <x:c r="I32" s="310" t="n">
        <x:v>45940</x:v>
      </x:c>
    </x:row>
    <x:row r="33">
      <x:c r="A33" s="300" t="n">
        <x:v>1</x:v>
      </x:c>
      <x:c r="B33" s="300" t="str">
        <x:v>JOHNSON &amp; JOHNSON DO BRASIL INDUSTRIA E COMERCIO DE PRODUTOS</x:v>
      </x:c>
      <x:c r="C33" s="300" t="str">
        <x:v>54516661000284</x:v>
      </x:c>
      <x:c r="D33" s="300" t="str">
        <x:v>SP</x:v>
      </x:c>
      <x:c r="E33" s="300" t="str">
        <x:v>27101249</x:v>
      </x:c>
      <x:c r="F33" s="300" t="str">
        <x:v>Outras</x:v>
      </x:c>
      <x:c r="G33" s="300" t="str">
        <x:v>ALF-Aerop Intern Viracopos</x:v>
      </x:c>
      <x:c r="H33" s="300" t="str">
        <x:v>ESTADOS UNIDOS</x:v>
      </x:c>
      <x:c r="I33" s="310" t="n">
        <x:v>249.9</x:v>
      </x:c>
    </x:row>
    <x:row r="34">
      <x:c r="A34" s="300" t="n">
        <x:v>1</x:v>
      </x:c>
      <x:c r="B34" s="300" t="str">
        <x:v>QUANTIQ DISTRIBUIDORA LTDA</x:v>
      </x:c>
      <x:c r="C34" s="300" t="str">
        <x:v>62227509002920</x:v>
      </x:c>
      <x:c r="D34" s="300" t="str">
        <x:v>SP</x:v>
      </x:c>
      <x:c r="E34" s="300" t="str">
        <x:v>27101249</x:v>
      </x:c>
      <x:c r="F34" s="300" t="str">
        <x:v>Outras</x:v>
      </x:c>
      <x:c r="G34" s="300" t="str">
        <x:v>ALF-Aerop Intern Viracopos</x:v>
      </x:c>
      <x:c r="H34" s="300" t="str">
        <x:v>FRANÇA</x:v>
      </x:c>
      <x:c r="I34" s="310" t="n">
        <x:v>0.688</x:v>
      </x:c>
    </x:row>
    <x:row r="35">
      <x:c r="A35" s="300" t="n">
        <x:v>1</x:v>
      </x:c>
      <x:c r="B35" s="300" t="str">
        <x:v>QUANTIQ DISTRIBUIDORA LTDA</x:v>
      </x:c>
      <x:c r="C35" s="300" t="str">
        <x:v>62227509002920</x:v>
      </x:c>
      <x:c r="D35" s="300" t="str">
        <x:v>SP</x:v>
      </x:c>
      <x:c r="E35" s="300" t="str">
        <x:v>27101249</x:v>
      </x:c>
      <x:c r="F35" s="300" t="str">
        <x:v>Outras</x:v>
      </x:c>
      <x:c r="G35" s="300" t="str">
        <x:v>ALF-Porto de Santos</x:v>
      </x:c>
      <x:c r="H35" s="300" t="str">
        <x:v>FRANÇA</x:v>
      </x:c>
      <x:c r="I35" s="310" t="n">
        <x:v>14500</x:v>
      </x:c>
    </x:row>
    <x:row r="36">
      <x:c r="A36" s="300" t="n">
        <x:v>1</x:v>
      </x:c>
      <x:c r="B36" s="300" t="str">
        <x:v>REFINARIA DE MANAUS S.A.</x:v>
      </x:c>
      <x:c r="C36" s="300" t="str">
        <x:v>40180943000168</x:v>
      </x:c>
      <x:c r="D36" s="300" t="str">
        <x:v>AM</x:v>
      </x:c>
      <x:c r="E36" s="300" t="str">
        <x:v>27101249</x:v>
      </x:c>
      <x:c r="F36" s="300" t="str">
        <x:v>Outras</x:v>
      </x:c>
      <x:c r="G36" s="300" t="str">
        <x:v>ALF-Porto de Manaus</x:v>
      </x:c>
      <x:c r="H36" s="300" t="str">
        <x:v>RUSSIA</x:v>
      </x:c>
      <x:c r="I36" s="310" t="n">
        <x:v>29547755</x:v>
      </x:c>
    </x:row>
    <x:row r="37">
      <x:c r="A37" s="300" t="n">
        <x:v>1</x:v>
      </x:c>
      <x:c r="B37" s="300" t="str">
        <x:v>SOCIEDADE MICHELIN DE PARTICIPACOES INDUST E COMERCIO LTDA</x:v>
      </x:c>
      <x:c r="C37" s="300" t="str">
        <x:v>50567288000744</x:v>
      </x:c>
      <x:c r="D37" s="300" t="str">
        <x:v>RJ</x:v>
      </x:c>
      <x:c r="E37" s="300" t="str">
        <x:v>27101249</x:v>
      </x:c>
      <x:c r="F37" s="300" t="str">
        <x:v>Outras</x:v>
      </x:c>
      <x:c r="G37" s="300" t="str">
        <x:v>ALF-Aerop Int RJ / Galeao</x:v>
      </x:c>
      <x:c r="H37" s="300" t="str">
        <x:v>ESTADOS UNIDOS</x:v>
      </x:c>
      <x:c r="I37" s="310" t="n">
        <x:v>7</x:v>
      </x:c>
    </x:row>
    <x:row r="38">
      <x:c r="A38" s="300" t="n">
        <x:v>1</x:v>
      </x:c>
      <x:c r="B38" s="300" t="str">
        <x:v>SUMITOMO RUBBER DO BRASIL LTDA.</x:v>
      </x:c>
      <x:c r="C38" s="300" t="str">
        <x:v>13816470000170</x:v>
      </x:c>
      <x:c r="D38" s="300" t="str">
        <x:v>PR</x:v>
      </x:c>
      <x:c r="E38" s="300" t="str">
        <x:v>27101249</x:v>
      </x:c>
      <x:c r="F38" s="300" t="str">
        <x:v>Outras naftas, exceto para petroquímica</x:v>
      </x:c>
      <x:c r="G38" s="300" t="str">
        <x:v>PORTO DE PARANAGUA</x:v>
      </x:c>
      <x:c r="H38" s="300" t="str">
        <x:v>ESTADOS UNIDOS</x:v>
      </x:c>
      <x:c r="I38" s="310" t="n">
        <x:v>435.42</x:v>
      </x:c>
    </x:row>
    <x:row r="39">
      <x:c r="A39" s="300" t="n">
        <x:v>1</x:v>
      </x:c>
      <x:c r="B39" s="300" t="str">
        <x:v>TECH INTERNATIONAL DO BRASIL SOLUCOES EM REPAROS LTDA.</x:v>
      </x:c>
      <x:c r="C39" s="300" t="str">
        <x:v>26805736000120</x:v>
      </x:c>
      <x:c r="D39" s="300" t="str">
        <x:v>SP</x:v>
      </x:c>
      <x:c r="E39" s="300" t="str">
        <x:v>27101249</x:v>
      </x:c>
      <x:c r="F39" s="300" t="str">
        <x:v>Outras</x:v>
      </x:c>
      <x:c r="G39" s="300" t="str">
        <x:v>ALF-Porto de Santos</x:v>
      </x:c>
      <x:c r="H39" s="300" t="str">
        <x:v>ESTADOS UNIDOS</x:v>
      </x:c>
      <x:c r="I39" s="310" t="n">
        <x:v>192</x:v>
      </x:c>
    </x:row>
    <x:row r="40">
      <x:c r="A40" s="300" t="n">
        <x:v>1</x:v>
      </x:c>
      <x:c r="B40" s="300" t="str">
        <x:v>WAIVER LOGISTICA BRASIL LTDA.</x:v>
      </x:c>
      <x:c r="C40" s="300" t="str">
        <x:v>08726359000152</x:v>
      </x:c>
      <x:c r="D40" s="300" t="str">
        <x:v>SP</x:v>
      </x:c>
      <x:c r="E40" s="300" t="str">
        <x:v>27101249</x:v>
      </x:c>
      <x:c r="F40" s="300" t="str">
        <x:v>Outras</x:v>
      </x:c>
      <x:c r="G40" s="300" t="str">
        <x:v>ALF - São Paulo</x:v>
      </x:c>
      <x:c r="H40" s="300" t="str">
        <x:v>REINO UNIDO</x:v>
      </x:c>
      <x:c r="I40" s="310" t="n">
        <x:v>2.8</x:v>
      </x:c>
    </x:row>
    <x:row r="41">
      <x:c r="A41" s="300" t="n">
        <x:v>2</x:v>
      </x:c>
      <x:c r="B41" s="300" t="str">
        <x:v>ANJO QUIMICA DO BRASIL LTDA</x:v>
      </x:c>
      <x:c r="C41" s="300" t="str">
        <x:v>02921346000158</x:v>
      </x:c>
      <x:c r="D41" s="300" t="str">
        <x:v>SC</x:v>
      </x:c>
      <x:c r="E41" s="300" t="str">
        <x:v>27101249</x:v>
      </x:c>
      <x:c r="F41" s="300" t="str">
        <x:v>Outras</x:v>
      </x:c>
      <x:c r="G41" s="300" t="str">
        <x:v>ALF-Uruguaiana</x:v>
      </x:c>
      <x:c r="H41" s="300" t="str">
        <x:v>ARGENTINA</x:v>
      </x:c>
      <x:c r="I41" s="310" t="n">
        <x:v>43740</x:v>
      </x:c>
    </x:row>
    <x:row r="42">
      <x:c r="A42" s="300" t="n">
        <x:v>2</x:v>
      </x:c>
      <x:c r="B42" s="300" t="str">
        <x:v>BRASKEM S.A</x:v>
      </x:c>
      <x:c r="C42" s="300" t="str">
        <x:v>42150391000170</x:v>
      </x:c>
      <x:c r="D42" s="300" t="str">
        <x:v>BA</x:v>
      </x:c>
      <x:c r="E42" s="300" t="str">
        <x:v>27101241</x:v>
      </x:c>
      <x:c r="F42" s="300" t="str">
        <x:v>Naftas para petroquimica</x:v>
      </x:c>
      <x:c r="G42" s="300" t="str">
        <x:v>ALF - SALVADOR</x:v>
      </x:c>
      <x:c r="H42" s="300" t="str">
        <x:v>CANARIAS</x:v>
      </x:c>
      <x:c r="I42" s="310" t="n">
        <x:v>36108936</x:v>
      </x:c>
    </x:row>
    <x:row r="43">
      <x:c r="A43" s="300" t="n">
        <x:v>2</x:v>
      </x:c>
      <x:c r="B43" s="300" t="str">
        <x:v>BRASKEM S.A</x:v>
      </x:c>
      <x:c r="C43" s="300" t="str">
        <x:v>42150391000170</x:v>
      </x:c>
      <x:c r="D43" s="300" t="str">
        <x:v>BA</x:v>
      </x:c>
      <x:c r="E43" s="300" t="str">
        <x:v>27101241</x:v>
      </x:c>
      <x:c r="F43" s="300" t="str">
        <x:v>Naftas para petroquimica</x:v>
      </x:c>
      <x:c r="G43" s="300" t="str">
        <x:v>ALF - SALVADOR</x:v>
      </x:c>
      <x:c r="H43" s="300" t="str">
        <x:v>ESTADOS UNIDOS</x:v>
      </x:c>
      <x:c r="I43" s="310" t="n">
        <x:v>114415977</x:v>
      </x:c>
    </x:row>
    <x:row r="44">
      <x:c r="A44" s="300" t="n">
        <x:v>2</x:v>
      </x:c>
      <x:c r="B44" s="300" t="str">
        <x:v>BRASKEM S.A</x:v>
      </x:c>
      <x:c r="C44" s="300" t="str">
        <x:v>42150391003862</x:v>
      </x:c>
      <x:c r="D44" s="300" t="str">
        <x:v>RS</x:v>
      </x:c>
      <x:c r="E44" s="300" t="str">
        <x:v>27101241</x:v>
      </x:c>
      <x:c r="F44" s="300" t="str">
        <x:v>Naftas para petroquimica</x:v>
      </x:c>
      <x:c r="G44" s="300" t="str">
        <x:v>ALF - PORTO ALEGRE</x:v>
      </x:c>
      <x:c r="H44" s="300" t="str">
        <x:v>ESTADOS UNIDOS</x:v>
      </x:c>
      <x:c r="I44" s="310" t="n">
        <x:v>160046026</x:v>
      </x:c>
    </x:row>
    <x:row r="45">
      <x:c r="A45" s="300" t="n">
        <x:v>2</x:v>
      </x:c>
      <x:c r="B45" s="300" t="str">
        <x:v>BRENNTAG QUIMICA BRASIL LTDA.</x:v>
      </x:c>
      <x:c r="C45" s="300" t="str">
        <x:v>33391434001603</x:v>
      </x:c>
      <x:c r="D45" s="300" t="str">
        <x:v>RS</x:v>
      </x:c>
      <x:c r="E45" s="300" t="str">
        <x:v>27101249</x:v>
      </x:c>
      <x:c r="F45" s="300" t="str">
        <x:v>Outras</x:v>
      </x:c>
      <x:c r="G45" s="300" t="str">
        <x:v>ALF-Uruguaiana</x:v>
      </x:c>
      <x:c r="H45" s="300" t="str">
        <x:v>ARGENTINA</x:v>
      </x:c>
      <x:c r="I45" s="310" t="n">
        <x:v>70460</x:v>
      </x:c>
    </x:row>
    <x:row r="46">
      <x:c r="A46" s="300" t="n">
        <x:v>2</x:v>
      </x:c>
      <x:c r="B46" s="300" t="str">
        <x:v>BRENNTAG QUIMICA BRASIL LTDA.</x:v>
      </x:c>
      <x:c r="C46" s="300" t="str">
        <x:v>33391434002405</x:v>
      </x:c>
      <x:c r="D46" s="300" t="str">
        <x:v>SP</x:v>
      </x:c>
      <x:c r="E46" s="300" t="str">
        <x:v>27101249</x:v>
      </x:c>
      <x:c r="F46" s="300" t="str">
        <x:v>Outras</x:v>
      </x:c>
      <x:c r="G46" s="300" t="str">
        <x:v>ALF-Porto de Santos</x:v>
      </x:c>
      <x:c r="H46" s="300" t="str">
        <x:v>ESTADOS UNIDOS</x:v>
      </x:c>
      <x:c r="I46" s="310" t="n">
        <x:v>16420.03</x:v>
      </x:c>
    </x:row>
    <x:row r="47">
      <x:c r="A47" s="300" t="n">
        <x:v>2</x:v>
      </x:c>
      <x:c r="B47" s="300" t="str">
        <x:v>CARBONO QUIMICA LTDA</x:v>
      </x:c>
      <x:c r="C47" s="300" t="str">
        <x:v>50611433000151</x:v>
      </x:c>
      <x:c r="D47" s="300" t="str">
        <x:v>SP</x:v>
      </x:c>
      <x:c r="E47" s="300" t="str">
        <x:v>27101249</x:v>
      </x:c>
      <x:c r="F47" s="300" t="str">
        <x:v>Outras naftas, exceto para petroquímica</x:v>
      </x:c>
      <x:c r="G47" s="300" t="str">
        <x:v>PORTO DE SANTOS</x:v>
      </x:c>
      <x:c r="H47" s="300" t="str">
        <x:v>ISRAEL</x:v>
      </x:c>
      <x:c r="I47" s="310" t="n">
        <x:v>16760</x:v>
      </x:c>
    </x:row>
    <x:row r="48">
      <x:c r="A48" s="300" t="n">
        <x:v>2</x:v>
      </x:c>
      <x:c r="B48" s="300" t="str">
        <x:v>GOL LINHAS AEREAS S.A.</x:v>
      </x:c>
      <x:c r="C48" s="300" t="str">
        <x:v>07575651003689</x:v>
      </x:c>
      <x:c r="D48" s="300" t="str">
        <x:v>MG</x:v>
      </x:c>
      <x:c r="E48" s="300" t="str">
        <x:v>27101249</x:v>
      </x:c>
      <x:c r="F48" s="300" t="str">
        <x:v>Outras</x:v>
      </x:c>
      <x:c r="G48" s="300" t="str">
        <x:v>ALF-Belo Horizonte</x:v>
      </x:c>
      <x:c r="H48" s="300" t="str">
        <x:v>ESTADOS UNIDOS</x:v>
      </x:c>
      <x:c r="I48" s="310" t="n">
        <x:v>19.074</x:v>
      </x:c>
    </x:row>
    <x:row r="49">
      <x:c r="A49" s="300" t="n">
        <x:v>2</x:v>
      </x:c>
      <x:c r="B49" s="300" t="str">
        <x:v>HOMY INDUSTRIA E COMERCIO DE PRODUTOS QUIMICOS LTDA</x:v>
      </x:c>
      <x:c r="C49" s="300" t="str">
        <x:v>43085349000186</x:v>
      </x:c>
      <x:c r="D49" s="300" t="str">
        <x:v>SP</x:v>
      </x:c>
      <x:c r="E49" s="300" t="str">
        <x:v>27101249</x:v>
      </x:c>
      <x:c r="F49" s="300" t="str">
        <x:v>Outras</x:v>
      </x:c>
      <x:c r="G49" s="300" t="str">
        <x:v>ALF-Aerop Intern Viracopos</x:v>
      </x:c>
      <x:c r="H49" s="300" t="str">
        <x:v>FRANÇA</x:v>
      </x:c>
      <x:c r="I49" s="310" t="n">
        <x:v>1</x:v>
      </x:c>
    </x:row>
    <x:row r="50">
      <x:c r="A50" s="300" t="n">
        <x:v>2</x:v>
      </x:c>
      <x:c r="B50" s="300" t="str">
        <x:v>INTERNATIONAL COMMODITIES TRADING LTDA</x:v>
      </x:c>
      <x:c r="C50" s="300" t="str">
        <x:v>44303728000753</x:v>
      </x:c>
      <x:c r="D50" s="300" t="str">
        <x:v>SC</x:v>
      </x:c>
      <x:c r="E50" s="300" t="str">
        <x:v>27101249</x:v>
      </x:c>
      <x:c r="F50" s="300" t="str">
        <x:v>Outras</x:v>
      </x:c>
      <x:c r="G50" s="300" t="str">
        <x:v>ALF-Dionísio Cerqueira</x:v>
      </x:c>
      <x:c r="H50" s="300" t="str">
        <x:v>ARGENTINA</x:v>
      </x:c>
      <x:c r="I50" s="310" t="n">
        <x:v>47820</x:v>
      </x:c>
    </x:row>
    <x:row r="51">
      <x:c r="A51" s="300" t="n">
        <x:v>2</x:v>
      </x:c>
      <x:c r="B51" s="300" t="str">
        <x:v>MERCK S/A</x:v>
      </x:c>
      <x:c r="C51" s="300" t="str">
        <x:v>33069212000850</x:v>
      </x:c>
      <x:c r="D51" s="300" t="str">
        <x:v>SP</x:v>
      </x:c>
      <x:c r="E51" s="300" t="str">
        <x:v>27101249</x:v>
      </x:c>
      <x:c r="F51" s="300" t="str">
        <x:v>Outras</x:v>
      </x:c>
      <x:c r="G51" s="300" t="str">
        <x:v>ALF-Aerop Intern S Paulo</x:v>
      </x:c>
      <x:c r="H51" s="300" t="str">
        <x:v>ALEMANHA</x:v>
      </x:c>
      <x:c r="I51" s="310" t="n">
        <x:v>7.4</x:v>
      </x:c>
    </x:row>
    <x:row r="52">
      <x:c r="A52" s="300" t="n">
        <x:v>2</x:v>
      </x:c>
      <x:c r="B52" s="300" t="str">
        <x:v>MERCK S/A</x:v>
      </x:c>
      <x:c r="C52" s="300" t="str">
        <x:v>33069212000850</x:v>
      </x:c>
      <x:c r="D52" s="300" t="str">
        <x:v>SP</x:v>
      </x:c>
      <x:c r="E52" s="300" t="str">
        <x:v>27101249</x:v>
      </x:c>
      <x:c r="F52" s="300" t="str">
        <x:v>Outras</x:v>
      </x:c>
      <x:c r="G52" s="300" t="str">
        <x:v>ALF-Aerop Intern Viracopos</x:v>
      </x:c>
      <x:c r="H52" s="300" t="str">
        <x:v>ALEMANHA</x:v>
      </x:c>
      <x:c r="I52" s="310" t="n">
        <x:v>3.64</x:v>
      </x:c>
    </x:row>
    <x:row r="53">
      <x:c r="A53" s="300" t="n">
        <x:v>2</x:v>
      </x:c>
      <x:c r="B53" s="300" t="str">
        <x:v>QUANTIQ DISTRIBUIDORA LTDA</x:v>
      </x:c>
      <x:c r="C53" s="300" t="str">
        <x:v>62227509002920</x:v>
      </x:c>
      <x:c r="D53" s="300" t="str">
        <x:v>SP</x:v>
      </x:c>
      <x:c r="E53" s="300" t="str">
        <x:v>27101249</x:v>
      </x:c>
      <x:c r="F53" s="300" t="str">
        <x:v>Outras</x:v>
      </x:c>
      <x:c r="G53" s="300" t="str">
        <x:v>ALF-Porto de Santos</x:v>
      </x:c>
      <x:c r="H53" s="300" t="str">
        <x:v>FRANÇA</x:v>
      </x:c>
      <x:c r="I53" s="310" t="n">
        <x:v>31700</x:v>
      </x:c>
    </x:row>
    <x:row r="54">
      <x:c r="A54" s="300" t="n">
        <x:v>2</x:v>
      </x:c>
      <x:c r="B54" s="300" t="str">
        <x:v>SAINT-GOBAIN DO BRASIL PRODUTOS INDUSTRIAIS E PARA CONSTRUCA</x:v>
      </x:c>
      <x:c r="C54" s="300" t="str">
        <x:v>61064838016560</x:v>
      </x:c>
      <x:c r="D54" s="300" t="str">
        <x:v>SP</x:v>
      </x:c>
      <x:c r="E54" s="300" t="str">
        <x:v>27101249</x:v>
      </x:c>
      <x:c r="F54" s="300" t="str">
        <x:v>Outras</x:v>
      </x:c>
      <x:c r="G54" s="300" t="str">
        <x:v>ALF-Porto de Santos</x:v>
      </x:c>
      <x:c r="H54" s="300" t="str">
        <x:v>CHINA</x:v>
      </x:c>
      <x:c r="I54" s="310" t="n">
        <x:v>28072.8</x:v>
      </x:c>
    </x:row>
    <x:row r="55">
      <x:c r="A55" s="300" t="n">
        <x:v>2</x:v>
      </x:c>
      <x:c r="B55" s="300" t="str">
        <x:v>SOCIEDADE MICHELIN DE PARTICIPACOES INDUST E COMERCIO LTDA</x:v>
      </x:c>
      <x:c r="C55" s="300" t="str">
        <x:v>50567288000744</x:v>
      </x:c>
      <x:c r="D55" s="300" t="str">
        <x:v>RJ</x:v>
      </x:c>
      <x:c r="E55" s="300" t="str">
        <x:v>27101249</x:v>
      </x:c>
      <x:c r="F55" s="300" t="str">
        <x:v>Outras naftas, exceto para petroquímica</x:v>
      </x:c>
      <x:c r="G55" s="300" t="str">
        <x:v>PORTO DO RIO DE JANEIRO</x:v>
      </x:c>
      <x:c r="H55" s="300" t="str">
        <x:v>BELGICA</x:v>
      </x:c>
      <x:c r="I55" s="310" t="n">
        <x:v>16540</x:v>
      </x:c>
    </x:row>
    <x:row r="56">
      <x:c r="A56" s="300" t="n">
        <x:v>2</x:v>
      </x:c>
      <x:c r="B56" s="300" t="str">
        <x:v>SUMITOMO RUBBER DO BRASIL LTDA.</x:v>
      </x:c>
      <x:c r="C56" s="300" t="str">
        <x:v>13816470000170</x:v>
      </x:c>
      <x:c r="D56" s="300" t="str">
        <x:v>PR</x:v>
      </x:c>
      <x:c r="E56" s="300" t="str">
        <x:v>27101249</x:v>
      </x:c>
      <x:c r="F56" s="300" t="str">
        <x:v>Outras naftas, exceto para petroquímica</x:v>
      </x:c>
      <x:c r="G56" s="300" t="str">
        <x:v>PORTO DE PARANAGUA</x:v>
      </x:c>
      <x:c r="H56" s="300" t="str">
        <x:v>ESTADOS UNIDOS</x:v>
      </x:c>
      <x:c r="I56" s="310" t="n">
        <x:v>435.42</x:v>
      </x:c>
    </x:row>
    <x:row r="57">
      <x:c r="A57" s="300" t="n">
        <x:v>2</x:v>
      </x:c>
      <x:c r="B57" s="300" t="str">
        <x:v>VERQUIMICA INDUSTRIA E COMERCIO DE PRODUTOS QUIMICOS EIRELI</x:v>
      </x:c>
      <x:c r="C57" s="300" t="str">
        <x:v>43588060000180</x:v>
      </x:c>
      <x:c r="D57" s="300" t="str">
        <x:v>SP</x:v>
      </x:c>
      <x:c r="E57" s="300" t="str">
        <x:v>27101249</x:v>
      </x:c>
      <x:c r="F57" s="300" t="str">
        <x:v>Outras</x:v>
      </x:c>
      <x:c r="G57" s="300" t="str">
        <x:v>ALF-Uruguaiana</x:v>
      </x:c>
      <x:c r="H57" s="300" t="str">
        <x:v>ARGENTINA</x:v>
      </x:c>
      <x:c r="I57" s="310" t="n">
        <x:v>20720</x:v>
      </x:c>
    </x:row>
    <x:row r="58">
      <x:c r="A58" s="300" t="n">
        <x:v>3</x:v>
      </x:c>
      <x:c r="B58" s="300" t="str">
        <x:v>3M DO BRASIL LTDA</x:v>
      </x:c>
      <x:c r="C58" s="300" t="str">
        <x:v>45985371000108</x:v>
      </x:c>
      <x:c r="D58" s="300" t="str">
        <x:v>SP</x:v>
      </x:c>
      <x:c r="E58" s="300" t="str">
        <x:v>27101249</x:v>
      </x:c>
      <x:c r="F58" s="300" t="str">
        <x:v>Outras</x:v>
      </x:c>
      <x:c r="G58" s="300" t="str">
        <x:v>ALF-Porto de Santos</x:v>
      </x:c>
      <x:c r="H58" s="300" t="str">
        <x:v>ESTADOS UNIDOS</x:v>
      </x:c>
      <x:c r="I58" s="310" t="n">
        <x:v>2191.68</x:v>
      </x:c>
    </x:row>
    <x:row r="59">
      <x:c r="A59" s="300" t="n">
        <x:v>3</x:v>
      </x:c>
      <x:c r="B59" s="300" t="str">
        <x:v>ANJO QUIMICA DO BRASIL LTDA</x:v>
      </x:c>
      <x:c r="C59" s="300" t="str">
        <x:v>02921346000158</x:v>
      </x:c>
      <x:c r="D59" s="300" t="str">
        <x:v>SC</x:v>
      </x:c>
      <x:c r="E59" s="300" t="str">
        <x:v>27101249</x:v>
      </x:c>
      <x:c r="F59" s="300" t="str">
        <x:v>Outras</x:v>
      </x:c>
      <x:c r="G59" s="300" t="str">
        <x:v>ALF-Uruguaiana</x:v>
      </x:c>
      <x:c r="H59" s="300" t="str">
        <x:v>ARGENTINA</x:v>
      </x:c>
      <x:c r="I59" s="310" t="n">
        <x:v>144940</x:v>
      </x:c>
    </x:row>
    <x:row r="60">
      <x:c r="A60" s="300" t="n">
        <x:v>3</x:v>
      </x:c>
      <x:c r="B60" s="300" t="str">
        <x:v>BAKER HUGHES DO BRASIL LTDA</x:v>
      </x:c>
      <x:c r="C60" s="300" t="str">
        <x:v>42087254000643</x:v>
      </x:c>
      <x:c r="D60" s="300" t="str">
        <x:v>RJ</x:v>
      </x:c>
      <x:c r="E60" s="300" t="str">
        <x:v>27101249</x:v>
      </x:c>
      <x:c r="F60" s="300" t="str">
        <x:v>Outras</x:v>
      </x:c>
      <x:c r="G60" s="300" t="str">
        <x:v>ALF-Aerop Int RJ / Galeao</x:v>
      </x:c>
      <x:c r="H60" s="300" t="str">
        <x:v>BELGICA</x:v>
      </x:c>
      <x:c r="I60" s="310" t="n">
        <x:v>6</x:v>
      </x:c>
    </x:row>
    <x:row r="61">
      <x:c r="A61" s="300" t="n">
        <x:v>3</x:v>
      </x:c>
      <x:c r="B61" s="300" t="str">
        <x:v>BRASKEM S.A</x:v>
      </x:c>
      <x:c r="C61" s="300" t="str">
        <x:v>42150391000170</x:v>
      </x:c>
      <x:c r="D61" s="300" t="str">
        <x:v>BA</x:v>
      </x:c>
      <x:c r="E61" s="300" t="str">
        <x:v>27101241</x:v>
      </x:c>
      <x:c r="F61" s="300" t="str">
        <x:v>Naftas para petroquimica</x:v>
      </x:c>
      <x:c r="G61" s="300" t="str">
        <x:v>ALF - SALVADOR</x:v>
      </x:c>
      <x:c r="H61" s="300" t="str">
        <x:v>CANARIAS</x:v>
      </x:c>
      <x:c r="I61" s="310" t="n">
        <x:v>37561684</x:v>
      </x:c>
    </x:row>
    <x:row r="62">
      <x:c r="A62" s="300" t="n">
        <x:v>3</x:v>
      </x:c>
      <x:c r="B62" s="300" t="str">
        <x:v>BRASKEM S.A</x:v>
      </x:c>
      <x:c r="C62" s="300" t="str">
        <x:v>42150391000170</x:v>
      </x:c>
      <x:c r="D62" s="300" t="str">
        <x:v>BA</x:v>
      </x:c>
      <x:c r="E62" s="300" t="str">
        <x:v>27101241</x:v>
      </x:c>
      <x:c r="F62" s="300" t="str">
        <x:v>Naftas para petroquimica</x:v>
      </x:c>
      <x:c r="G62" s="300" t="str">
        <x:v>ALF - SALVADOR</x:v>
      </x:c>
      <x:c r="H62" s="300" t="str">
        <x:v>ESTADOS UNIDOS</x:v>
      </x:c>
      <x:c r="I62" s="310" t="n">
        <x:v>199941199</x:v>
      </x:c>
    </x:row>
    <x:row r="63">
      <x:c r="A63" s="300" t="n">
        <x:v>3</x:v>
      </x:c>
      <x:c r="B63" s="300" t="str">
        <x:v>BRASKEM S.A</x:v>
      </x:c>
      <x:c r="C63" s="300" t="str">
        <x:v>42150391003862</x:v>
      </x:c>
      <x:c r="D63" s="300" t="str">
        <x:v>RS</x:v>
      </x:c>
      <x:c r="E63" s="300" t="str">
        <x:v>27101241</x:v>
      </x:c>
      <x:c r="F63" s="300" t="str">
        <x:v>Naftas para petroquimica</x:v>
      </x:c>
      <x:c r="G63" s="300" t="str">
        <x:v>ALF - PORTO ALEGRE</x:v>
      </x:c>
      <x:c r="H63" s="300" t="str">
        <x:v>ESTADOS UNIDOS</x:v>
      </x:c>
      <x:c r="I63" s="310" t="n">
        <x:v>82758579</x:v>
      </x:c>
    </x:row>
    <x:row r="64">
      <x:c r="A64" s="300" t="n">
        <x:v>3</x:v>
      </x:c>
      <x:c r="B64" s="300" t="str">
        <x:v>BRENNTAG QUIMICA BRASIL LTDA.</x:v>
      </x:c>
      <x:c r="C64" s="300" t="str">
        <x:v>33391434001603</x:v>
      </x:c>
      <x:c r="D64" s="300" t="str">
        <x:v>RS</x:v>
      </x:c>
      <x:c r="E64" s="300" t="str">
        <x:v>27101249</x:v>
      </x:c>
      <x:c r="F64" s="300" t="str">
        <x:v>Outras</x:v>
      </x:c>
      <x:c r="G64" s="300" t="str">
        <x:v>ALF-Uruguaiana</x:v>
      </x:c>
      <x:c r="H64" s="300" t="str">
        <x:v>ARGENTINA</x:v>
      </x:c>
      <x:c r="I64" s="310" t="n">
        <x:v>117620</x:v>
      </x:c>
    </x:row>
    <x:row r="65">
      <x:c r="A65" s="300" t="n">
        <x:v>3</x:v>
      </x:c>
      <x:c r="B65" s="300" t="str">
        <x:v>BRENNTAG QUIMICA BRASIL LTDA.</x:v>
      </x:c>
      <x:c r="C65" s="300" t="str">
        <x:v>33391434002405</x:v>
      </x:c>
      <x:c r="D65" s="300" t="str">
        <x:v>SP</x:v>
      </x:c>
      <x:c r="E65" s="300" t="str">
        <x:v>27101249</x:v>
      </x:c>
      <x:c r="F65" s="300" t="str">
        <x:v>Outras</x:v>
      </x:c>
      <x:c r="G65" s="300" t="str">
        <x:v>ALF-Porto de Santos</x:v>
      </x:c>
      <x:c r="H65" s="300" t="str">
        <x:v>ESTADOS UNIDOS</x:v>
      </x:c>
      <x:c r="I65" s="310" t="n">
        <x:v>16646.826</x:v>
      </x:c>
    </x:row>
    <x:row r="66">
      <x:c r="A66" s="300" t="n">
        <x:v>3</x:v>
      </x:c>
      <x:c r="B66" s="300" t="str">
        <x:v>C Q A COMERCIAL QUIMICA AMERICANA LTDA</x:v>
      </x:c>
      <x:c r="C66" s="300" t="str">
        <x:v>69259182000116</x:v>
      </x:c>
      <x:c r="D66" s="300" t="str">
        <x:v>SP</x:v>
      </x:c>
      <x:c r="E66" s="300" t="str">
        <x:v>27101249</x:v>
      </x:c>
      <x:c r="F66" s="300" t="str">
        <x:v>Outras</x:v>
      </x:c>
      <x:c r="G66" s="300" t="str">
        <x:v>ALF-Aerop Intern S Paulo</x:v>
      </x:c>
      <x:c r="H66" s="300" t="str">
        <x:v>ESPANHA</x:v>
      </x:c>
      <x:c r="I66" s="310" t="n">
        <x:v>20.969</x:v>
      </x:c>
    </x:row>
    <x:row r="67">
      <x:c r="A67" s="300" t="n">
        <x:v>3</x:v>
      </x:c>
      <x:c r="B67" s="300" t="str">
        <x:v>CARBONO QUIMICA LTDA</x:v>
      </x:c>
      <x:c r="C67" s="300" t="str">
        <x:v>50611433000151</x:v>
      </x:c>
      <x:c r="D67" s="300" t="str">
        <x:v>SP</x:v>
      </x:c>
      <x:c r="E67" s="300" t="str">
        <x:v>27101249</x:v>
      </x:c>
      <x:c r="F67" s="300" t="str">
        <x:v>Outras naftas, exceto para petroquímica</x:v>
      </x:c>
      <x:c r="G67" s="300" t="str">
        <x:v>PORTO DE SANTOS</x:v>
      </x:c>
      <x:c r="H67" s="300" t="str">
        <x:v>ISRAEL</x:v>
      </x:c>
      <x:c r="I67" s="310" t="n">
        <x:v>33440</x:v>
      </x:c>
    </x:row>
    <x:row r="68">
      <x:c r="A68" s="300" t="n">
        <x:v>3</x:v>
      </x:c>
      <x:c r="B68" s="300" t="str">
        <x:v>ENVIRONMENTAL SCIENCE DO BRASIL LTDA.</x:v>
      </x:c>
      <x:c r="C68" s="300" t="str">
        <x:v>45698161000210</x:v>
      </x:c>
      <x:c r="D68" s="300" t="str">
        <x:v>SP</x:v>
      </x:c>
      <x:c r="E68" s="300" t="str">
        <x:v>27101249</x:v>
      </x:c>
      <x:c r="F68" s="300" t="str">
        <x:v>Outras</x:v>
      </x:c>
      <x:c r="G68" s="300" t="str">
        <x:v>ALF-Porto de Santos</x:v>
      </x:c>
      <x:c r="H68" s="300" t="str">
        <x:v>BELGICA</x:v>
      </x:c>
      <x:c r="I68" s="310" t="n">
        <x:v>40000</x:v>
      </x:c>
    </x:row>
    <x:row r="69">
      <x:c r="A69" s="300" t="n">
        <x:v>3</x:v>
      </x:c>
      <x:c r="B69" s="300" t="str">
        <x:v>ENVIRONMENTAL SCIENCE DO BRASIL LTDA.</x:v>
      </x:c>
      <x:c r="C69" s="300" t="str">
        <x:v>45698161000210</x:v>
      </x:c>
      <x:c r="D69" s="300" t="str">
        <x:v>SP</x:v>
      </x:c>
      <x:c r="E69" s="300" t="str">
        <x:v>27101249</x:v>
      </x:c>
      <x:c r="F69" s="300" t="str">
        <x:v>Outras naftas, exceto para petroquímica</x:v>
      </x:c>
      <x:c r="G69" s="300" t="str">
        <x:v>PORTO DE SANTOS</x:v>
      </x:c>
      <x:c r="H69" s="300" t="str">
        <x:v>BELGICA</x:v>
      </x:c>
      <x:c r="I69" s="310" t="n">
        <x:v>39980</x:v>
      </x:c>
    </x:row>
    <x:row r="70">
      <x:c r="A70" s="300" t="n">
        <x:v>3</x:v>
      </x:c>
      <x:c r="B70" s="300" t="str">
        <x:v>ETILUX IMPORTACAO E DISTRIBUICAO DE ARTIGOS DE CUTELARIA S.A</x:v>
      </x:c>
      <x:c r="C70" s="300" t="str">
        <x:v>50306471000109</x:v>
      </x:c>
      <x:c r="D70" s="300" t="str">
        <x:v>SP</x:v>
      </x:c>
      <x:c r="E70" s="300" t="str">
        <x:v>27101249</x:v>
      </x:c>
      <x:c r="F70" s="300" t="str">
        <x:v>Outras</x:v>
      </x:c>
      <x:c r="G70" s="300" t="str">
        <x:v>ALF-Porto de Santos</x:v>
      </x:c>
      <x:c r="H70" s="300" t="str">
        <x:v>CHINA</x:v>
      </x:c>
      <x:c r="I70" s="310" t="n">
        <x:v>1205.96</x:v>
      </x:c>
    </x:row>
    <x:row r="71">
      <x:c r="A71" s="300" t="n">
        <x:v>3</x:v>
      </x:c>
      <x:c r="B71" s="300" t="str">
        <x:v>GOL LINHAS AEREAS S.A.</x:v>
      </x:c>
      <x:c r="C71" s="300" t="str">
        <x:v>07575651003689</x:v>
      </x:c>
      <x:c r="D71" s="300" t="str">
        <x:v>MG</x:v>
      </x:c>
      <x:c r="E71" s="300" t="str">
        <x:v>27101249</x:v>
      </x:c>
      <x:c r="F71" s="300" t="str">
        <x:v>Outras</x:v>
      </x:c>
      <x:c r="G71" s="300" t="str">
        <x:v>ALF-Aerop Intern Viracopos</x:v>
      </x:c>
      <x:c r="H71" s="300" t="str">
        <x:v>ESTADOS UNIDOS</x:v>
      </x:c>
      <x:c r="I71" s="310" t="n">
        <x:v>160.494</x:v>
      </x:c>
    </x:row>
    <x:row r="72">
      <x:c r="A72" s="300" t="n">
        <x:v>3</x:v>
      </x:c>
      <x:c r="B72" s="300" t="str">
        <x:v>GOL LINHAS AEREAS S.A.</x:v>
      </x:c>
      <x:c r="C72" s="300" t="str">
        <x:v>07575651003689</x:v>
      </x:c>
      <x:c r="D72" s="300" t="str">
        <x:v>MG</x:v>
      </x:c>
      <x:c r="E72" s="300" t="str">
        <x:v>27101249</x:v>
      </x:c>
      <x:c r="F72" s="300" t="str">
        <x:v>Outras</x:v>
      </x:c>
      <x:c r="G72" s="300" t="str">
        <x:v>ALF-Belo Horizonte</x:v>
      </x:c>
      <x:c r="H72" s="300" t="str">
        <x:v>ESTADOS UNIDOS</x:v>
      </x:c>
      <x:c r="I72" s="310" t="n">
        <x:v>340</x:v>
      </x:c>
    </x:row>
    <x:row r="73">
      <x:c r="A73" s="300" t="n">
        <x:v>3</x:v>
      </x:c>
      <x:c r="B73" s="300" t="str">
        <x:v>INTERNATIONAL COMMODITIES TRADING LTDA</x:v>
      </x:c>
      <x:c r="C73" s="300" t="str">
        <x:v>44303728000753</x:v>
      </x:c>
      <x:c r="D73" s="300" t="str">
        <x:v>SC</x:v>
      </x:c>
      <x:c r="E73" s="300" t="str">
        <x:v>27101249</x:v>
      </x:c>
      <x:c r="F73" s="300" t="str">
        <x:v>Outras</x:v>
      </x:c>
      <x:c r="G73" s="300" t="str">
        <x:v>ALF-Dionísio Cerqueira</x:v>
      </x:c>
      <x:c r="H73" s="300" t="str">
        <x:v>ARGENTINA</x:v>
      </x:c>
      <x:c r="I73" s="310" t="n">
        <x:v>140780</x:v>
      </x:c>
    </x:row>
    <x:row r="74">
      <x:c r="A74" s="300" t="n">
        <x:v>3</x:v>
      </x:c>
      <x:c r="B74" s="300" t="str">
        <x:v>JOHNSON &amp; JOHNSON DO BRASIL INDUSTRIA E COMERCIO DE PRODUTOS</x:v>
      </x:c>
      <x:c r="C74" s="300" t="str">
        <x:v>54516661000284</x:v>
      </x:c>
      <x:c r="D74" s="300" t="str">
        <x:v>SP</x:v>
      </x:c>
      <x:c r="E74" s="300" t="str">
        <x:v>27101249</x:v>
      </x:c>
      <x:c r="F74" s="300" t="str">
        <x:v>Outras</x:v>
      </x:c>
      <x:c r="G74" s="300" t="str">
        <x:v>ALF-Aerop Intern Viracopos</x:v>
      </x:c>
      <x:c r="H74" s="300" t="str">
        <x:v>ESTADOS UNIDOS</x:v>
      </x:c>
      <x:c r="I74" s="310" t="n">
        <x:v>374.49</x:v>
      </x:c>
    </x:row>
    <x:row r="75">
      <x:c r="A75" s="300" t="n">
        <x:v>3</x:v>
      </x:c>
      <x:c r="B75" s="300" t="str">
        <x:v>LABSYNTH PRODUTOS PARA LABORATORIOS LTDA</x:v>
      </x:c>
      <x:c r="C75" s="300" t="str">
        <x:v>51462471000152</x:v>
      </x:c>
      <x:c r="D75" s="300" t="str">
        <x:v>SP</x:v>
      </x:c>
      <x:c r="E75" s="300" t="str">
        <x:v>27101249</x:v>
      </x:c>
      <x:c r="F75" s="300" t="str">
        <x:v>Outras</x:v>
      </x:c>
      <x:c r="G75" s="300" t="str">
        <x:v>ALF-Porto de Santos</x:v>
      </x:c>
      <x:c r="H75" s="300" t="str">
        <x:v>ALEMANHA</x:v>
      </x:c>
      <x:c r="I75" s="310" t="n">
        <x:v>2620</x:v>
      </x:c>
    </x:row>
    <x:row r="76">
      <x:c r="A76" s="300" t="n">
        <x:v>3</x:v>
      </x:c>
      <x:c r="B76" s="300" t="str">
        <x:v>QUANTIQ DISTRIBUIDORA LTDA</x:v>
      </x:c>
      <x:c r="C76" s="300" t="str">
        <x:v>62227509002920</x:v>
      </x:c>
      <x:c r="D76" s="300" t="str">
        <x:v>SP</x:v>
      </x:c>
      <x:c r="E76" s="300" t="str">
        <x:v>27101249</x:v>
      </x:c>
      <x:c r="F76" s="300" t="str">
        <x:v>Outras</x:v>
      </x:c>
      <x:c r="G76" s="300" t="str">
        <x:v>ALF-Porto de Santos</x:v>
      </x:c>
      <x:c r="H76" s="300" t="str">
        <x:v>FRANÇA</x:v>
      </x:c>
      <x:c r="I76" s="310" t="n">
        <x:v>31700</x:v>
      </x:c>
    </x:row>
    <x:row r="77">
      <x:c r="A77" s="300" t="n">
        <x:v>3</x:v>
      </x:c>
      <x:c r="B77" s="300" t="str">
        <x:v>REFINARIA DE MANAUS S.A.</x:v>
      </x:c>
      <x:c r="C77" s="300" t="str">
        <x:v>40180943000168</x:v>
      </x:c>
      <x:c r="D77" s="300" t="str">
        <x:v>AM</x:v>
      </x:c>
      <x:c r="E77" s="300" t="str">
        <x:v>27101249</x:v>
      </x:c>
      <x:c r="F77" s="300" t="str">
        <x:v>Outras</x:v>
      </x:c>
      <x:c r="G77" s="300" t="str">
        <x:v>ALF-Porto de Manaus</x:v>
      </x:c>
      <x:c r="H77" s="300" t="str">
        <x:v>RUSSIA</x:v>
      </x:c>
      <x:c r="I77" s="310" t="n">
        <x:v>37768435</x:v>
      </x:c>
    </x:row>
    <x:row r="78">
      <x:c r="A78" s="300" t="n">
        <x:v>3</x:v>
      </x:c>
      <x:c r="B78" s="300" t="str">
        <x:v>SCHARLAB BRASIL MATERIAL PARA LABORATORIO S/A</x:v>
      </x:c>
      <x:c r="C78" s="300" t="str">
        <x:v>64568710000103</x:v>
      </x:c>
      <x:c r="D78" s="300" t="str">
        <x:v>SP</x:v>
      </x:c>
      <x:c r="E78" s="300" t="str">
        <x:v>27101249</x:v>
      </x:c>
      <x:c r="F78" s="300" t="str">
        <x:v>Outras</x:v>
      </x:c>
      <x:c r="G78" s="300" t="str">
        <x:v>ALF-Porto de Santos</x:v>
      </x:c>
      <x:c r="H78" s="300" t="str">
        <x:v>MEXICO</x:v>
      </x:c>
      <x:c r="I78" s="310" t="n">
        <x:v>28.8</x:v>
      </x:c>
    </x:row>
    <x:row r="79">
      <x:c r="A79" s="300" t="n">
        <x:v>3</x:v>
      </x:c>
      <x:c r="B79" s="300" t="str">
        <x:v>SOCIEDADE MICHELIN DE PARTICIPACOES INDUST E COMERCIO LTDA</x:v>
      </x:c>
      <x:c r="C79" s="300" t="str">
        <x:v>50567288000744</x:v>
      </x:c>
      <x:c r="D79" s="300" t="str">
        <x:v>RJ</x:v>
      </x:c>
      <x:c r="E79" s="300" t="str">
        <x:v>27101249</x:v>
      </x:c>
      <x:c r="F79" s="300" t="str">
        <x:v>Outras naftas, exceto para petroquímica</x:v>
      </x:c>
      <x:c r="G79" s="300" t="str">
        <x:v>PORTO DO RIO DE JANEIRO</x:v>
      </x:c>
      <x:c r="H79" s="300" t="str">
        <x:v>BELGICA</x:v>
      </x:c>
      <x:c r="I79" s="310" t="n">
        <x:v>49920</x:v>
      </x:c>
    </x:row>
    <x:row r="80">
      <x:c r="A80" s="300" t="n">
        <x:v>3</x:v>
      </x:c>
      <x:c r="B80" s="300" t="str">
        <x:v>TECH INTERNATIONAL DO BRASIL SOLUCOES EM REPAROS LTDA.</x:v>
      </x:c>
      <x:c r="C80" s="300" t="str">
        <x:v>26805736000120</x:v>
      </x:c>
      <x:c r="D80" s="300" t="str">
        <x:v>SP</x:v>
      </x:c>
      <x:c r="E80" s="300" t="str">
        <x:v>27101249</x:v>
      </x:c>
      <x:c r="F80" s="300" t="str">
        <x:v>Outras</x:v>
      </x:c>
      <x:c r="G80" s="300" t="str">
        <x:v>ALF-Porto de Santos</x:v>
      </x:c>
      <x:c r="H80" s="300" t="str">
        <x:v>ESTADOS UNIDOS</x:v>
      </x:c>
      <x:c r="I80" s="310" t="n">
        <x:v>90</x:v>
      </x:c>
    </x:row>
    <x:row r="81">
      <x:c r="A81" s="300" t="n">
        <x:v>4</x:v>
      </x:c>
      <x:c r="B81" s="300" t="str">
        <x:v>ANJO QUIMICA DO BRASIL LTDA</x:v>
      </x:c>
      <x:c r="C81" s="300" t="str">
        <x:v>02921346000158</x:v>
      </x:c>
      <x:c r="D81" s="300" t="str">
        <x:v>SC</x:v>
      </x:c>
      <x:c r="E81" s="300" t="str">
        <x:v>27101249</x:v>
      </x:c>
      <x:c r="F81" s="300" t="str">
        <x:v>Outras</x:v>
      </x:c>
      <x:c r="G81" s="300" t="str">
        <x:v>ALF-Uruguaiana</x:v>
      </x:c>
      <x:c r="H81" s="300" t="str">
        <x:v>ARGENTINA</x:v>
      </x:c>
      <x:c r="I81" s="310" t="n">
        <x:v>147400</x:v>
      </x:c>
    </x:row>
    <x:row r="82">
      <x:c r="A82" s="300" t="n">
        <x:v>4</x:v>
      </x:c>
      <x:c r="B82" s="300" t="str">
        <x:v>AXALTA COATING SYSTEMS BRASIL LTDA.</x:v>
      </x:c>
      <x:c r="C82" s="300" t="str">
        <x:v>15373395000145</x:v>
      </x:c>
      <x:c r="D82" s="300" t="str">
        <x:v>SP</x:v>
      </x:c>
      <x:c r="E82" s="300" t="str">
        <x:v>27101249</x:v>
      </x:c>
      <x:c r="F82" s="300" t="str">
        <x:v>Outras naftas, exceto para petroquímica</x:v>
      </x:c>
      <x:c r="G82" s="300" t="str">
        <x:v>PORTO DE SANTOS</x:v>
      </x:c>
      <x:c r="H82" s="300" t="str">
        <x:v>ESTADOS UNIDOS</x:v>
      </x:c>
      <x:c r="I82" s="310" t="n">
        <x:v>6170.4</x:v>
      </x:c>
    </x:row>
    <x:row r="83">
      <x:c r="A83" s="300" t="n">
        <x:v>4</x:v>
      </x:c>
      <x:c r="B83" s="300" t="str">
        <x:v>BRASKEM S.A</x:v>
      </x:c>
      <x:c r="C83" s="300" t="str">
        <x:v>42150391000170</x:v>
      </x:c>
      <x:c r="D83" s="300" t="str">
        <x:v>BA</x:v>
      </x:c>
      <x:c r="E83" s="300" t="str">
        <x:v>27101241</x:v>
      </x:c>
      <x:c r="F83" s="300" t="str">
        <x:v>Naftas para petroquimica</x:v>
      </x:c>
      <x:c r="G83" s="300" t="str">
        <x:v>ALF - SALVADOR</x:v>
      </x:c>
      <x:c r="H83" s="300" t="str">
        <x:v>CANARIAS</x:v>
      </x:c>
      <x:c r="I83" s="310" t="n">
        <x:v>36400790</x:v>
      </x:c>
    </x:row>
    <x:row r="84">
      <x:c r="A84" s="300" t="n">
        <x:v>4</x:v>
      </x:c>
      <x:c r="B84" s="300" t="str">
        <x:v>BRASKEM S.A</x:v>
      </x:c>
      <x:c r="C84" s="300" t="str">
        <x:v>42150391000170</x:v>
      </x:c>
      <x:c r="D84" s="300" t="str">
        <x:v>BA</x:v>
      </x:c>
      <x:c r="E84" s="300" t="str">
        <x:v>27101241</x:v>
      </x:c>
      <x:c r="F84" s="300" t="str">
        <x:v>Naftas para petroquimica</x:v>
      </x:c>
      <x:c r="G84" s="300" t="str">
        <x:v>ALF - SALVADOR</x:v>
      </x:c>
      <x:c r="H84" s="300" t="str">
        <x:v>ESTADOS UNIDOS</x:v>
      </x:c>
      <x:c r="I84" s="310" t="n">
        <x:v>57285344</x:v>
      </x:c>
    </x:row>
    <x:row r="85">
      <x:c r="A85" s="300" t="n">
        <x:v>4</x:v>
      </x:c>
      <x:c r="B85" s="300" t="str">
        <x:v>BRASKEM S.A</x:v>
      </x:c>
      <x:c r="C85" s="300" t="str">
        <x:v>42150391003862</x:v>
      </x:c>
      <x:c r="D85" s="300" t="str">
        <x:v>RS</x:v>
      </x:c>
      <x:c r="E85" s="300" t="str">
        <x:v>27101241</x:v>
      </x:c>
      <x:c r="F85" s="300" t="str">
        <x:v>Naftas para petroquimica</x:v>
      </x:c>
      <x:c r="G85" s="300" t="str">
        <x:v>ALF - PORTO ALEGRE</x:v>
      </x:c>
      <x:c r="H85" s="300" t="str">
        <x:v>ESTADOS UNIDOS</x:v>
      </x:c>
      <x:c r="I85" s="310" t="n">
        <x:v>112636681</x:v>
      </x:c>
    </x:row>
    <x:row r="86">
      <x:c r="A86" s="300" t="n">
        <x:v>4</x:v>
      </x:c>
      <x:c r="B86" s="300" t="str">
        <x:v>BRENNTAG QUIMICA BRASIL LTDA.</x:v>
      </x:c>
      <x:c r="C86" s="300" t="str">
        <x:v>33391434001603</x:v>
      </x:c>
      <x:c r="D86" s="300" t="str">
        <x:v>RS</x:v>
      </x:c>
      <x:c r="E86" s="300" t="str">
        <x:v>27101249</x:v>
      </x:c>
      <x:c r="F86" s="300" t="str">
        <x:v>Outras</x:v>
      </x:c>
      <x:c r="G86" s="300" t="str">
        <x:v>ALF-Uruguaiana</x:v>
      </x:c>
      <x:c r="H86" s="300" t="str">
        <x:v>ARGENTINA</x:v>
      </x:c>
      <x:c r="I86" s="310" t="n">
        <x:v>222480</x:v>
      </x:c>
    </x:row>
    <x:row r="87">
      <x:c r="A87" s="300" t="n">
        <x:v>4</x:v>
      </x:c>
      <x:c r="B87" s="300" t="str">
        <x:v>BRENNTAG QUIMICA BRASIL LTDA.</x:v>
      </x:c>
      <x:c r="C87" s="300" t="str">
        <x:v>33391434002405</x:v>
      </x:c>
      <x:c r="D87" s="300" t="str">
        <x:v>SP</x:v>
      </x:c>
      <x:c r="E87" s="300" t="str">
        <x:v>27101249</x:v>
      </x:c>
      <x:c r="F87" s="300" t="str">
        <x:v>Outras</x:v>
      </x:c>
      <x:c r="G87" s="300" t="str">
        <x:v>ALF-Uruguaiana</x:v>
      </x:c>
      <x:c r="H87" s="300" t="str">
        <x:v>ARGENTINA</x:v>
      </x:c>
      <x:c r="I87" s="310" t="n">
        <x:v>25680</x:v>
      </x:c>
    </x:row>
    <x:row r="88">
      <x:c r="A88" s="300" t="n">
        <x:v>4</x:v>
      </x:c>
      <x:c r="B88" s="300" t="str">
        <x:v>CARBONO QUIMICA LTDA</x:v>
      </x:c>
      <x:c r="C88" s="300" t="str">
        <x:v>50611433000151</x:v>
      </x:c>
      <x:c r="D88" s="300" t="str">
        <x:v>SP</x:v>
      </x:c>
      <x:c r="E88" s="300" t="str">
        <x:v>27101249</x:v>
      </x:c>
      <x:c r="F88" s="300" t="str">
        <x:v>Outras naftas, exceto para petroquímica</x:v>
      </x:c>
      <x:c r="G88" s="300" t="str">
        <x:v>PORTO DE SANTOS</x:v>
      </x:c>
      <x:c r="H88" s="300" t="str">
        <x:v>ISRAEL</x:v>
      </x:c>
      <x:c r="I88" s="310" t="n">
        <x:v>33240</x:v>
      </x:c>
    </x:row>
    <x:row r="89">
      <x:c r="A89" s="300" t="n">
        <x:v>4</x:v>
      </x:c>
      <x:c r="B89" s="300" t="str">
        <x:v>FARBEN SA INDUSTRIA QUIMICA</x:v>
      </x:c>
      <x:c r="C89" s="300" t="str">
        <x:v>85111441000113</x:v>
      </x:c>
      <x:c r="D89" s="300" t="str">
        <x:v>SC</x:v>
      </x:c>
      <x:c r="E89" s="300" t="str">
        <x:v>27101249</x:v>
      </x:c>
      <x:c r="F89" s="300" t="str">
        <x:v>Outras</x:v>
      </x:c>
      <x:c r="G89" s="300" t="str">
        <x:v>ALF-Uruguaiana</x:v>
      </x:c>
      <x:c r="H89" s="300" t="str">
        <x:v>ARGENTINA</x:v>
      </x:c>
      <x:c r="I89" s="310" t="n">
        <x:v>21480</x:v>
      </x:c>
    </x:row>
    <x:row r="90">
      <x:c r="A90" s="300" t="n">
        <x:v>4</x:v>
      </x:c>
      <x:c r="B90" s="300" t="str">
        <x:v>GOL LINHAS AEREAS S.A.</x:v>
      </x:c>
      <x:c r="C90" s="300" t="str">
        <x:v>07575651003689</x:v>
      </x:c>
      <x:c r="D90" s="300" t="str">
        <x:v>MG</x:v>
      </x:c>
      <x:c r="E90" s="300" t="str">
        <x:v>27101249</x:v>
      </x:c>
      <x:c r="F90" s="300" t="str">
        <x:v>Outras</x:v>
      </x:c>
      <x:c r="G90" s="300" t="str">
        <x:v>ALF-Belo Horizonte</x:v>
      </x:c>
      <x:c r="H90" s="300" t="str">
        <x:v>ESTADOS UNIDOS</x:v>
      </x:c>
      <x:c r="I90" s="310" t="n">
        <x:v>2.75399</x:v>
      </x:c>
    </x:row>
    <x:row r="91">
      <x:c r="A91" s="300" t="n">
        <x:v>4</x:v>
      </x:c>
      <x:c r="B91" s="300" t="str">
        <x:v>INTERNATIONAL COMMODITIES TRADING LTDA</x:v>
      </x:c>
      <x:c r="C91" s="300" t="str">
        <x:v>44303728000753</x:v>
      </x:c>
      <x:c r="D91" s="300" t="str">
        <x:v>SC</x:v>
      </x:c>
      <x:c r="E91" s="300" t="str">
        <x:v>27101249</x:v>
      </x:c>
      <x:c r="F91" s="300" t="str">
        <x:v>Outras</x:v>
      </x:c>
      <x:c r="G91" s="300" t="str">
        <x:v>ALF-Dionísio Cerqueira</x:v>
      </x:c>
      <x:c r="H91" s="300" t="str">
        <x:v>ARGENTINA</x:v>
      </x:c>
      <x:c r="I91" s="310" t="n">
        <x:v>174900</x:v>
      </x:c>
    </x:row>
    <x:row r="92">
      <x:c r="A92" s="300" t="n">
        <x:v>4</x:v>
      </x:c>
      <x:c r="B92" s="300" t="str">
        <x:v>INTERNATIONAL COMMODITIES TRADING LTDA</x:v>
      </x:c>
      <x:c r="C92" s="300" t="str">
        <x:v>44303728000753</x:v>
      </x:c>
      <x:c r="D92" s="300" t="str">
        <x:v>SC</x:v>
      </x:c>
      <x:c r="E92" s="300" t="str">
        <x:v>27101249</x:v>
      </x:c>
      <x:c r="F92" s="300" t="str">
        <x:v>Outras</x:v>
      </x:c>
      <x:c r="G92" s="300" t="str">
        <x:v>ALF-Uruguaiana</x:v>
      </x:c>
      <x:c r="H92" s="300" t="str">
        <x:v>ARGENTINA</x:v>
      </x:c>
      <x:c r="I92" s="310" t="n">
        <x:v>23060</x:v>
      </x:c>
    </x:row>
    <x:row r="93">
      <x:c r="A93" s="300" t="n">
        <x:v>4</x:v>
      </x:c>
      <x:c r="B93" s="300" t="str">
        <x:v>QUANTIQ DISTRIBUIDORA LTDA</x:v>
      </x:c>
      <x:c r="C93" s="300" t="str">
        <x:v>62227509002920</x:v>
      </x:c>
      <x:c r="D93" s="300" t="str">
        <x:v>SP</x:v>
      </x:c>
      <x:c r="E93" s="300" t="str">
        <x:v>27101249</x:v>
      </x:c>
      <x:c r="F93" s="300" t="str">
        <x:v>Outras</x:v>
      </x:c>
      <x:c r="G93" s="300" t="str">
        <x:v>ALF-Porto de Santos</x:v>
      </x:c>
      <x:c r="H93" s="300" t="str">
        <x:v>FRANÇA</x:v>
      </x:c>
      <x:c r="I93" s="310" t="n">
        <x:v>16160</x:v>
      </x:c>
    </x:row>
    <x:row r="94">
      <x:c r="A94" s="300" t="n">
        <x:v>4</x:v>
      </x:c>
      <x:c r="B94" s="300" t="str">
        <x:v>SAINT-GOBAIN DO BRASIL PRODUTOS INDUSTRIAIS E PARA CONSTRUCA</x:v>
      </x:c>
      <x:c r="C94" s="300" t="str">
        <x:v>61064838016560</x:v>
      </x:c>
      <x:c r="D94" s="300" t="str">
        <x:v>SP</x:v>
      </x:c>
      <x:c r="E94" s="300" t="str">
        <x:v>27101249</x:v>
      </x:c>
      <x:c r="F94" s="300" t="str">
        <x:v>Outras</x:v>
      </x:c>
      <x:c r="G94" s="300" t="str">
        <x:v>ALF-Porto de Santos</x:v>
      </x:c>
      <x:c r="H94" s="300" t="str">
        <x:v>CHINA</x:v>
      </x:c>
      <x:c r="I94" s="310" t="n">
        <x:v>7459.2</x:v>
      </x:c>
    </x:row>
    <x:row r="95">
      <x:c r="A95" s="300" t="n">
        <x:v>4</x:v>
      </x:c>
      <x:c r="B95" s="300" t="str">
        <x:v>SOCIEDADE MICHELIN DE PARTICIPACOES INDUST E COMERCIO LTDA</x:v>
      </x:c>
      <x:c r="C95" s="300" t="str">
        <x:v>50567288000663</x:v>
      </x:c>
      <x:c r="D95" s="300" t="str">
        <x:v>RJ</x:v>
      </x:c>
      <x:c r="E95" s="300" t="str">
        <x:v>27101249</x:v>
      </x:c>
      <x:c r="F95" s="300" t="str">
        <x:v>Outras naftas, exceto para petroquímica</x:v>
      </x:c>
      <x:c r="G95" s="300" t="str">
        <x:v>AEROPORTO INTERNACIONAL GALEÃO</x:v>
      </x:c>
      <x:c r="H95" s="300" t="str">
        <x:v>ESTADOS UNIDOS</x:v>
      </x:c>
      <x:c r="I95" s="310" t="n">
        <x:v>1</x:v>
      </x:c>
    </x:row>
    <x:row r="96">
      <x:c r="A96" s="300" t="n">
        <x:v>4</x:v>
      </x:c>
      <x:c r="B96" s="300" t="str">
        <x:v>VERQUIMICA INDUSTRIA E COMERCIO DE PRODUTOS QUIMICOS EIRELI</x:v>
      </x:c>
      <x:c r="C96" s="300" t="str">
        <x:v>43588060000180</x:v>
      </x:c>
      <x:c r="D96" s="300" t="str">
        <x:v>SP</x:v>
      </x:c>
      <x:c r="E96" s="300" t="str">
        <x:v>27101249</x:v>
      </x:c>
      <x:c r="F96" s="300" t="str">
        <x:v>Outras</x:v>
      </x:c>
      <x:c r="G96" s="300" t="str">
        <x:v>ALF-Uruguaiana</x:v>
      </x:c>
      <x:c r="H96" s="300" t="str">
        <x:v>ARGENTINA</x:v>
      </x:c>
      <x:c r="I96" s="310" t="n">
        <x:v>24040</x:v>
      </x:c>
    </x:row>
    <x:row r="97">
      <x:c r="A97" s="300" t="n">
        <x:v>5</x:v>
      </x:c>
      <x:c r="B97" s="300" t="str">
        <x:v>ANJO QUIMICA DO BRASIL LTDA</x:v>
      </x:c>
      <x:c r="C97" s="300" t="str">
        <x:v>02921346000158</x:v>
      </x:c>
      <x:c r="D97" s="300" t="str">
        <x:v>SC</x:v>
      </x:c>
      <x:c r="E97" s="300" t="str">
        <x:v>27101249</x:v>
      </x:c>
      <x:c r="F97" s="300" t="str">
        <x:v>Outras</x:v>
      </x:c>
      <x:c r="G97" s="300" t="str">
        <x:v>ALF-Uruguaiana</x:v>
      </x:c>
      <x:c r="H97" s="300" t="str">
        <x:v>ARGENTINA</x:v>
      </x:c>
      <x:c r="I97" s="310" t="n">
        <x:v>43320</x:v>
      </x:c>
    </x:row>
    <x:row r="98">
      <x:c r="A98" s="300" t="n">
        <x:v>5</x:v>
      </x:c>
      <x:c r="B98" s="300" t="str">
        <x:v>AXALTA COATING SYSTEMS BRASIL LTDA.</x:v>
      </x:c>
      <x:c r="C98" s="300" t="str">
        <x:v>15373395000145</x:v>
      </x:c>
      <x:c r="D98" s="300" t="str">
        <x:v>SP</x:v>
      </x:c>
      <x:c r="E98" s="300" t="str">
        <x:v>27101249</x:v>
      </x:c>
      <x:c r="F98" s="300" t="str">
        <x:v>Outras naftas, exceto para petroquímica</x:v>
      </x:c>
      <x:c r="G98" s="300" t="str">
        <x:v>PORTO DE SANTOS</x:v>
      </x:c>
      <x:c r="H98" s="300" t="str">
        <x:v>ESTADOS UNIDOS</x:v>
      </x:c>
      <x:c r="I98" s="310" t="n">
        <x:v>6170.4</x:v>
      </x:c>
    </x:row>
    <x:row r="99">
      <x:c r="A99" s="300" t="n">
        <x:v>5</x:v>
      </x:c>
      <x:c r="B99" s="300" t="str">
        <x:v>BRASKEM S.A</x:v>
      </x:c>
      <x:c r="C99" s="300" t="str">
        <x:v>42150391000170</x:v>
      </x:c>
      <x:c r="D99" s="300" t="str">
        <x:v>BA</x:v>
      </x:c>
      <x:c r="E99" s="300" t="str">
        <x:v>27101241</x:v>
      </x:c>
      <x:c r="F99" s="300" t="str">
        <x:v>Naftas para petroquimica</x:v>
      </x:c>
      <x:c r="G99" s="300" t="str">
        <x:v>ALF - SALVADOR</x:v>
      </x:c>
      <x:c r="H99" s="300" t="str">
        <x:v>ESTADOS UNIDOS</x:v>
      </x:c>
      <x:c r="I99" s="310" t="n">
        <x:v>57965585</x:v>
      </x:c>
    </x:row>
    <x:row r="100">
      <x:c r="A100" s="300" t="n">
        <x:v>5</x:v>
      </x:c>
      <x:c r="B100" s="300" t="str">
        <x:v>BRASKEM S.A</x:v>
      </x:c>
      <x:c r="C100" s="300" t="str">
        <x:v>42150391000170</x:v>
      </x:c>
      <x:c r="D100" s="300" t="str">
        <x:v>BA</x:v>
      </x:c>
      <x:c r="E100" s="300" t="str">
        <x:v>27101241</x:v>
      </x:c>
      <x:c r="F100" s="300" t="str">
        <x:v>Naftas para petroquimica</x:v>
      </x:c>
      <x:c r="G100" s="300" t="str">
        <x:v>ALF - SALVADOR</x:v>
      </x:c>
      <x:c r="H100" s="300" t="str">
        <x:v>HOLANDA (PAISES BAIXOS)</x:v>
      </x:c>
      <x:c r="I100" s="310" t="n">
        <x:v>37279628</x:v>
      </x:c>
    </x:row>
    <x:row r="101">
      <x:c r="A101" s="300" t="n">
        <x:v>5</x:v>
      </x:c>
      <x:c r="B101" s="300" t="str">
        <x:v>BRENNTAG QUIMICA BRASIL LTDA.</x:v>
      </x:c>
      <x:c r="C101" s="300" t="str">
        <x:v>33391434002405</x:v>
      </x:c>
      <x:c r="D101" s="300" t="str">
        <x:v>SP</x:v>
      </x:c>
      <x:c r="E101" s="300" t="str">
        <x:v>27101249</x:v>
      </x:c>
      <x:c r="F101" s="300" t="str">
        <x:v>Outras</x:v>
      </x:c>
      <x:c r="G101" s="300" t="str">
        <x:v>ALF-Uruguaiana</x:v>
      </x:c>
      <x:c r="H101" s="300" t="str">
        <x:v>ARGENTINA</x:v>
      </x:c>
      <x:c r="I101" s="310" t="n">
        <x:v>170520</x:v>
      </x:c>
    </x:row>
    <x:row r="102">
      <x:c r="A102" s="300" t="n">
        <x:v>5</x:v>
      </x:c>
      <x:c r="B102" s="300" t="str">
        <x:v>ETILUX IMPORTACAO E DISTRIBUICAO DE ARTIGOS DE CUTELARIA S.A</x:v>
      </x:c>
      <x:c r="C102" s="300" t="str">
        <x:v>50306471000109</x:v>
      </x:c>
      <x:c r="D102" s="300" t="str">
        <x:v>SP</x:v>
      </x:c>
      <x:c r="E102" s="300" t="str">
        <x:v>27101249</x:v>
      </x:c>
      <x:c r="F102" s="300" t="str">
        <x:v>Outras</x:v>
      </x:c>
      <x:c r="G102" s="300" t="str">
        <x:v>ALF - São Paulo</x:v>
      </x:c>
      <x:c r="H102" s="300" t="str">
        <x:v>CHINA</x:v>
      </x:c>
      <x:c r="I102" s="310" t="n">
        <x:v>2411.93</x:v>
      </x:c>
    </x:row>
    <x:row r="103">
      <x:c r="A103" s="300" t="n">
        <x:v>5</x:v>
      </x:c>
      <x:c r="B103" s="300" t="str">
        <x:v>GOL LINHAS AEREAS S.A.</x:v>
      </x:c>
      <x:c r="C103" s="300" t="str">
        <x:v>07575651003689</x:v>
      </x:c>
      <x:c r="D103" s="300" t="str">
        <x:v>MG</x:v>
      </x:c>
      <x:c r="E103" s="300" t="str">
        <x:v>27101249</x:v>
      </x:c>
      <x:c r="F103" s="300" t="str">
        <x:v>Outras naftas, exceto para petroquímica</x:v>
      </x:c>
      <x:c r="G103" s="300" t="str">
        <x:v>AEROPORTO INTERNACIONAL DE VIRACOPOS</x:v>
      </x:c>
      <x:c r="H103" s="300" t="str">
        <x:v>ESTADOS UNIDOS</x:v>
      </x:c>
      <x:c r="I103" s="310" t="n">
        <x:v>46.648</x:v>
      </x:c>
    </x:row>
    <x:row r="104">
      <x:c r="A104" s="300" t="n">
        <x:v>5</x:v>
      </x:c>
      <x:c r="B104" s="300" t="str">
        <x:v>INTERNATIONAL COMMODITIES TRADING LTDA</x:v>
      </x:c>
      <x:c r="C104" s="300" t="str">
        <x:v>44303728000753</x:v>
      </x:c>
      <x:c r="D104" s="300" t="str">
        <x:v>SC</x:v>
      </x:c>
      <x:c r="E104" s="300" t="str">
        <x:v>27101249</x:v>
      </x:c>
      <x:c r="F104" s="300" t="str">
        <x:v>Outras</x:v>
      </x:c>
      <x:c r="G104" s="300" t="str">
        <x:v>ALF-Dionísio Cerqueira</x:v>
      </x:c>
      <x:c r="H104" s="300" t="str">
        <x:v>ARGENTINA</x:v>
      </x:c>
      <x:c r="I104" s="310" t="n">
        <x:v>70360</x:v>
      </x:c>
    </x:row>
    <x:row r="105">
      <x:c r="A105" s="300" t="n">
        <x:v>5</x:v>
      </x:c>
      <x:c r="B105" s="300" t="str">
        <x:v>INTERNATIONAL COMMODITIES TRADING LTDA</x:v>
      </x:c>
      <x:c r="C105" s="300" t="str">
        <x:v>44303728000753</x:v>
      </x:c>
      <x:c r="D105" s="300" t="str">
        <x:v>SC</x:v>
      </x:c>
      <x:c r="E105" s="300" t="str">
        <x:v>27101249</x:v>
      </x:c>
      <x:c r="F105" s="300" t="str">
        <x:v>Outras</x:v>
      </x:c>
      <x:c r="G105" s="300" t="str">
        <x:v>ALF-Uruguaiana</x:v>
      </x:c>
      <x:c r="H105" s="300" t="str">
        <x:v>ARGENTINA</x:v>
      </x:c>
      <x:c r="I105" s="310" t="n">
        <x:v>73000</x:v>
      </x:c>
    </x:row>
    <x:row r="106">
      <x:c r="A106" s="300" t="n">
        <x:v>5</x:v>
      </x:c>
      <x:c r="B106" s="300" t="str">
        <x:v>NOURYON PULP AND PERFORMANCE INDUSTRIA QUIMICA LTDA</x:v>
      </x:c>
      <x:c r="C106" s="300" t="str">
        <x:v>43818418001195</x:v>
      </x:c>
      <x:c r="D106" s="300" t="str">
        <x:v>SP</x:v>
      </x:c>
      <x:c r="E106" s="300" t="str">
        <x:v>27101249</x:v>
      </x:c>
      <x:c r="F106" s="300" t="str">
        <x:v>Outras</x:v>
      </x:c>
      <x:c r="G106" s="300" t="str">
        <x:v>ALF-Porto de Santos</x:v>
      </x:c>
      <x:c r="H106" s="300" t="str">
        <x:v>ESTADOS UNIDOS</x:v>
      </x:c>
      <x:c r="I106" s="310" t="n">
        <x:v>3985</x:v>
      </x:c>
    </x:row>
    <x:row r="107">
      <x:c r="A107" s="300" t="n">
        <x:v>5</x:v>
      </x:c>
      <x:c r="B107" s="300" t="str">
        <x:v>QUANTIQ DISTRIBUIDORA LTDA</x:v>
      </x:c>
      <x:c r="C107" s="300" t="str">
        <x:v>62227509002920</x:v>
      </x:c>
      <x:c r="D107" s="300" t="str">
        <x:v>SP</x:v>
      </x:c>
      <x:c r="E107" s="300" t="str">
        <x:v>27101249</x:v>
      </x:c>
      <x:c r="F107" s="300" t="str">
        <x:v>Outras naftas, exceto para petroquímica</x:v>
      </x:c>
      <x:c r="G107" s="300" t="str">
        <x:v>PORTO DE SANTOS</x:v>
      </x:c>
      <x:c r="H107" s="300" t="str">
        <x:v>FRANCA</x:v>
      </x:c>
      <x:c r="I107" s="310" t="n">
        <x:v>17060</x:v>
      </x:c>
    </x:row>
    <x:row r="108">
      <x:c r="A108" s="300" t="n">
        <x:v>5</x:v>
      </x:c>
      <x:c r="B108" s="300" t="str">
        <x:v>SCHARLAB BRASIL MATERIAL PARA LABORATORIO S/A</x:v>
      </x:c>
      <x:c r="C108" s="300" t="str">
        <x:v>64568710000103</x:v>
      </x:c>
      <x:c r="D108" s="300" t="str">
        <x:v>SP</x:v>
      </x:c>
      <x:c r="E108" s="300" t="str">
        <x:v>27101249</x:v>
      </x:c>
      <x:c r="F108" s="300" t="str">
        <x:v>Outras</x:v>
      </x:c>
      <x:c r="G108" s="300" t="str">
        <x:v>ALF-Porto de Santos</x:v>
      </x:c>
      <x:c r="H108" s="300" t="str">
        <x:v>MEXICO</x:v>
      </x:c>
      <x:c r="I108" s="310" t="n">
        <x:v>8.16</x:v>
      </x:c>
    </x:row>
    <x:row r="109">
      <x:c r="A109" s="300" t="n">
        <x:v>5</x:v>
      </x:c>
      <x:c r="B109" s="300" t="str">
        <x:v>SOCIEDADE MICHELIN DE PARTICIPACOES INDUST E COMERCIO LTDA</x:v>
      </x:c>
      <x:c r="C109" s="300" t="str">
        <x:v>50567288000744</x:v>
      </x:c>
      <x:c r="D109" s="300" t="str">
        <x:v>RJ</x:v>
      </x:c>
      <x:c r="E109" s="300" t="str">
        <x:v>27101249</x:v>
      </x:c>
      <x:c r="F109" s="300" t="str">
        <x:v>Outras naftas, exceto para petroquímica</x:v>
      </x:c>
      <x:c r="G109" s="300" t="str">
        <x:v>PORTO DO RIO DE JANEIRO</x:v>
      </x:c>
      <x:c r="H109" s="300" t="str">
        <x:v>BELGICA</x:v>
      </x:c>
      <x:c r="I109" s="310" t="n">
        <x:v>16500</x:v>
      </x:c>
    </x:row>
    <x:row r="110">
      <x:c r="A110" s="300" t="n">
        <x:v>5</x:v>
      </x:c>
      <x:c r="B110" s="300" t="str">
        <x:v>SOLVEN SOLVENTES E QUIMICOS LTDA</x:v>
      </x:c>
      <x:c r="C110" s="300" t="str">
        <x:v>74259896000164</x:v>
      </x:c>
      <x:c r="D110" s="300" t="str">
        <x:v>SP</x:v>
      </x:c>
      <x:c r="E110" s="300" t="str">
        <x:v>27101249</x:v>
      </x:c>
      <x:c r="F110" s="300" t="str">
        <x:v>Outras</x:v>
      </x:c>
      <x:c r="G110" s="300" t="str">
        <x:v>ALF-Porto de Santos</x:v>
      </x:c>
      <x:c r="H110" s="300" t="str">
        <x:v>ESPANHA</x:v>
      </x:c>
      <x:c r="I110" s="310" t="n">
        <x:v>16300</x:v>
      </x:c>
    </x:row>
    <x:row r="111">
      <x:c r="A111" s="300" t="n">
        <x:v>5</x:v>
      </x:c>
      <x:c r="B111" s="300" t="str">
        <x:v>TAM LINHAS AEREAS S/A.</x:v>
      </x:c>
      <x:c r="C111" s="300" t="str">
        <x:v>02012862022996</x:v>
      </x:c>
      <x:c r="D111" s="300" t="str">
        <x:v>SP</x:v>
      </x:c>
      <x:c r="E111" s="300" t="str">
        <x:v>27101249</x:v>
      </x:c>
      <x:c r="F111" s="300" t="str">
        <x:v>Outras naftas, exceto para petroquímica</x:v>
      </x:c>
      <x:c r="G111" s="300" t="str">
        <x:v>AEROPORTO INTERNACIONAL DE SAO PAULO/GUARULHOS</x:v>
      </x:c>
      <x:c r="H111" s="300" t="str">
        <x:v>GRECIA</x:v>
      </x:c>
      <x:c r="I111" s="310" t="n">
        <x:v>24.03</x:v>
      </x:c>
    </x:row>
    <x:row r="112">
      <x:c r="A112" s="300" t="n">
        <x:v>5</x:v>
      </x:c>
      <x:c r="B112" s="300" t="str">
        <x:v>TECH INTERNATIONAL DO BRASIL SOLUCOES EM REPAROS LTDA.</x:v>
      </x:c>
      <x:c r="C112" s="300" t="str">
        <x:v>26805736000120</x:v>
      </x:c>
      <x:c r="D112" s="300" t="str">
        <x:v>SP</x:v>
      </x:c>
      <x:c r="E112" s="300" t="str">
        <x:v>27101249</x:v>
      </x:c>
      <x:c r="F112" s="300" t="str">
        <x:v>Outras naftas, exceto para petroquímica</x:v>
      </x:c>
      <x:c r="G112" s="300" t="str">
        <x:v>PORTO DE SANTOS</x:v>
      </x:c>
      <x:c r="H112" s="300" t="str">
        <x:v>ESTADOS UNIDOS</x:v>
      </x:c>
      <x:c r="I112" s="310" t="n">
        <x:v>333</x:v>
      </x:c>
    </x:row>
    <x:row r="113">
      <x:c r="A113" s="300" t="n">
        <x:v>5</x:v>
      </x:c>
      <x:c r="B113" s="300" t="str">
        <x:v>VERQUIMICA INDUSTRIA E COMERCIO DE PRODUTOS QUIMICOS EIRELI</x:v>
      </x:c>
      <x:c r="C113" s="300" t="str">
        <x:v>43588060000180</x:v>
      </x:c>
      <x:c r="D113" s="300" t="str">
        <x:v>SP</x:v>
      </x:c>
      <x:c r="E113" s="300" t="str">
        <x:v>27101249</x:v>
      </x:c>
      <x:c r="F113" s="300" t="str">
        <x:v>Outras</x:v>
      </x:c>
      <x:c r="G113" s="300" t="str">
        <x:v>ALF-Porto de Santos</x:v>
      </x:c>
      <x:c r="H113" s="300" t="str">
        <x:v>ARGENTINA</x:v>
      </x:c>
      <x:c r="I113" s="310" t="n">
        <x:v>25140</x:v>
      </x:c>
    </x:row>
    <x:row r="114">
      <x:c r="A114" s="300" t="n">
        <x:v>5</x:v>
      </x:c>
      <x:c r="B114" s="300" t="str">
        <x:v>VERQUIMICA INDUSTRIA E COMERCIO DE PRODUTOS QUIMICOS EIRELI</x:v>
      </x:c>
      <x:c r="C114" s="300" t="str">
        <x:v>43588060000180</x:v>
      </x:c>
      <x:c r="D114" s="300" t="str">
        <x:v>SP</x:v>
      </x:c>
      <x:c r="E114" s="300" t="str">
        <x:v>27101249</x:v>
      </x:c>
      <x:c r="F114" s="300" t="str">
        <x:v>Outras</x:v>
      </x:c>
      <x:c r="G114" s="300" t="str">
        <x:v>ALF-Uruguaiana</x:v>
      </x:c>
      <x:c r="H114" s="300" t="str">
        <x:v>ARGENTINA</x:v>
      </x:c>
      <x:c r="I114" s="310" t="n">
        <x:v>49500</x:v>
      </x:c>
    </x:row>
    <x:row r="115">
      <x:c r="A115" s="300" t="n">
        <x:v>6</x:v>
      </x:c>
      <x:c r="B115" s="300" t="str">
        <x:v>AXALTA COATING SYSTEMS BRASIL LTDA.</x:v>
      </x:c>
      <x:c r="C115" s="300" t="str">
        <x:v>15373395000145</x:v>
      </x:c>
      <x:c r="D115" s="300" t="str">
        <x:v>SP</x:v>
      </x:c>
      <x:c r="E115" s="300" t="str">
        <x:v>27101249</x:v>
      </x:c>
      <x:c r="F115" s="300" t="str">
        <x:v>Outras naftas, exceto para petroquímica</x:v>
      </x:c>
      <x:c r="G115" s="300" t="str">
        <x:v>PORTO DE SANTOS</x:v>
      </x:c>
      <x:c r="H115" s="300" t="str">
        <x:v>ESTADOS UNIDOS</x:v>
      </x:c>
      <x:c r="I115" s="310" t="n">
        <x:v>12340.8</x:v>
      </x:c>
    </x:row>
    <x:row r="116">
      <x:c r="A116" s="300" t="n">
        <x:v>6</x:v>
      </x:c>
      <x:c r="B116" s="300" t="str">
        <x:v>BRASKEM S.A</x:v>
      </x:c>
      <x:c r="C116" s="300" t="str">
        <x:v>42150391000170</x:v>
      </x:c>
      <x:c r="D116" s="300" t="str">
        <x:v>BA</x:v>
      </x:c>
      <x:c r="E116" s="300" t="str">
        <x:v>27101241</x:v>
      </x:c>
      <x:c r="F116" s="300" t="str">
        <x:v>Naftas para petroquimica</x:v>
      </x:c>
      <x:c r="G116" s="300" t="str">
        <x:v>ALF - SALVADOR</x:v>
      </x:c>
      <x:c r="H116" s="300" t="str">
        <x:v>CANARIAS</x:v>
      </x:c>
      <x:c r="I116" s="310" t="n">
        <x:v>35073526</x:v>
      </x:c>
    </x:row>
    <x:row r="117">
      <x:c r="A117" s="300" t="n">
        <x:v>6</x:v>
      </x:c>
      <x:c r="B117" s="300" t="str">
        <x:v>BRASKEM S.A</x:v>
      </x:c>
      <x:c r="C117" s="300" t="str">
        <x:v>42150391000170</x:v>
      </x:c>
      <x:c r="D117" s="300" t="str">
        <x:v>BA</x:v>
      </x:c>
      <x:c r="E117" s="300" t="str">
        <x:v>27101241</x:v>
      </x:c>
      <x:c r="F117" s="300" t="str">
        <x:v>Naftas para petroquimica</x:v>
      </x:c>
      <x:c r="G117" s="300" t="str">
        <x:v>ALF - SALVADOR</x:v>
      </x:c>
      <x:c r="H117" s="300" t="str">
        <x:v>ESTADOS UNIDOS</x:v>
      </x:c>
      <x:c r="I117" s="310" t="n">
        <x:v>170718379</x:v>
      </x:c>
    </x:row>
    <x:row r="118">
      <x:c r="A118" s="300" t="n">
        <x:v>6</x:v>
      </x:c>
      <x:c r="B118" s="300" t="str">
        <x:v>BRENNTAG QUIMICA BRASIL LTDA.</x:v>
      </x:c>
      <x:c r="C118" s="300" t="str">
        <x:v>33391434001603</x:v>
      </x:c>
      <x:c r="D118" s="300" t="str">
        <x:v>RS</x:v>
      </x:c>
      <x:c r="E118" s="300" t="str">
        <x:v>27101249</x:v>
      </x:c>
      <x:c r="F118" s="300" t="str">
        <x:v>Outras</x:v>
      </x:c>
      <x:c r="G118" s="300" t="str">
        <x:v>ALF-Uruguaiana</x:v>
      </x:c>
      <x:c r="H118" s="300" t="str">
        <x:v>ARGENTINA</x:v>
      </x:c>
      <x:c r="I118" s="310" t="n">
        <x:v>24820</x:v>
      </x:c>
    </x:row>
    <x:row r="119">
      <x:c r="A119" s="300" t="n">
        <x:v>6</x:v>
      </x:c>
      <x:c r="B119" s="300" t="str">
        <x:v>BRENNTAG QUIMICA BRASIL LTDA.</x:v>
      </x:c>
      <x:c r="C119" s="300" t="str">
        <x:v>33391434002405</x:v>
      </x:c>
      <x:c r="D119" s="300" t="str">
        <x:v>SP</x:v>
      </x:c>
      <x:c r="E119" s="300" t="str">
        <x:v>27101249</x:v>
      </x:c>
      <x:c r="F119" s="300" t="str">
        <x:v>Outras</x:v>
      </x:c>
      <x:c r="G119" s="300" t="str">
        <x:v>ALF-Porto de Santos</x:v>
      </x:c>
      <x:c r="H119" s="300" t="str">
        <x:v>ESTADOS UNIDOS</x:v>
      </x:c>
      <x:c r="I119" s="310" t="n">
        <x:v>15630.78</x:v>
      </x:c>
    </x:row>
    <x:row r="120">
      <x:c r="A120" s="300" t="n">
        <x:v>6</x:v>
      </x:c>
      <x:c r="B120" s="300" t="str">
        <x:v>BRENNTAG QUIMICA BRASIL LTDA.</x:v>
      </x:c>
      <x:c r="C120" s="300" t="str">
        <x:v>33391434002405</x:v>
      </x:c>
      <x:c r="D120" s="300" t="str">
        <x:v>SP</x:v>
      </x:c>
      <x:c r="E120" s="300" t="str">
        <x:v>27101249</x:v>
      </x:c>
      <x:c r="F120" s="300" t="str">
        <x:v>Outras</x:v>
      </x:c>
      <x:c r="G120" s="300" t="str">
        <x:v>ALF-Uruguaiana</x:v>
      </x:c>
      <x:c r="H120" s="300" t="str">
        <x:v>ARGENTINA</x:v>
      </x:c>
      <x:c r="I120" s="310" t="n">
        <x:v>126660</x:v>
      </x:c>
    </x:row>
    <x:row r="121">
      <x:c r="A121" s="300" t="n">
        <x:v>6</x:v>
      </x:c>
      <x:c r="B121" s="300" t="str">
        <x:v>CARBONO QUIMICA LTDA</x:v>
      </x:c>
      <x:c r="C121" s="300" t="str">
        <x:v>50611433000151</x:v>
      </x:c>
      <x:c r="D121" s="300" t="str">
        <x:v>SP</x:v>
      </x:c>
      <x:c r="E121" s="300" t="str">
        <x:v>27101249</x:v>
      </x:c>
      <x:c r="F121" s="300" t="str">
        <x:v>Outras naftas, exceto para petroquímica</x:v>
      </x:c>
      <x:c r="G121" s="300" t="str">
        <x:v>PORTO DE SANTOS</x:v>
      </x:c>
      <x:c r="H121" s="300" t="str">
        <x:v>ISRAEL</x:v>
      </x:c>
      <x:c r="I121" s="310" t="n">
        <x:v>32760</x:v>
      </x:c>
    </x:row>
    <x:row r="122">
      <x:c r="A122" s="300" t="n">
        <x:v>6</x:v>
      </x:c>
      <x:c r="B122" s="300" t="str">
        <x:v>ENVIRONMENTAL SCIENCE DO BRASIL LTDA.</x:v>
      </x:c>
      <x:c r="C122" s="300" t="str">
        <x:v>45698161000210</x:v>
      </x:c>
      <x:c r="D122" s="300" t="str">
        <x:v>SP</x:v>
      </x:c>
      <x:c r="E122" s="300" t="str">
        <x:v>27101249</x:v>
      </x:c>
      <x:c r="F122" s="300" t="str">
        <x:v>Outras naftas, exceto para petroquímica</x:v>
      </x:c>
      <x:c r="G122" s="300" t="str">
        <x:v>PORTO DE SANTOS</x:v>
      </x:c>
      <x:c r="H122" s="300" t="str">
        <x:v>BELGICA</x:v>
      </x:c>
      <x:c r="I122" s="310" t="n">
        <x:v>20200</x:v>
      </x:c>
    </x:row>
    <x:row r="123">
      <x:c r="A123" s="300" t="n">
        <x:v>6</x:v>
      </x:c>
      <x:c r="B123" s="300" t="str">
        <x:v>FARBEN SA INDUSTRIA QUIMICA</x:v>
      </x:c>
      <x:c r="C123" s="300" t="str">
        <x:v>85111441000113</x:v>
      </x:c>
      <x:c r="D123" s="300" t="str">
        <x:v>SC</x:v>
      </x:c>
      <x:c r="E123" s="300" t="str">
        <x:v>27101249</x:v>
      </x:c>
      <x:c r="F123" s="300" t="str">
        <x:v>Outras</x:v>
      </x:c>
      <x:c r="G123" s="300" t="str">
        <x:v>ALF-Uruguaiana</x:v>
      </x:c>
      <x:c r="H123" s="300" t="str">
        <x:v>ARGENTINA</x:v>
      </x:c>
      <x:c r="I123" s="310" t="n">
        <x:v>64920</x:v>
      </x:c>
    </x:row>
    <x:row r="124">
      <x:c r="A124" s="300" t="n">
        <x:v>6</x:v>
      </x:c>
      <x:c r="B124" s="300" t="str">
        <x:v>GOL LINHAS AEREAS S.A.</x:v>
      </x:c>
      <x:c r="C124" s="300" t="str">
        <x:v>07575651003689</x:v>
      </x:c>
      <x:c r="D124" s="300" t="str">
        <x:v>MG</x:v>
      </x:c>
      <x:c r="E124" s="300" t="str">
        <x:v>27101249</x:v>
      </x:c>
      <x:c r="F124" s="300" t="str">
        <x:v>Outras naftas, exceto para petroquímica</x:v>
      </x:c>
      <x:c r="G124" s="300" t="str">
        <x:v>AEROPORTO INTERNACIONAL DE VIRACOPOS</x:v>
      </x:c>
      <x:c r="H124" s="300" t="str">
        <x:v>ESTADOS UNIDOS</x:v>
      </x:c>
      <x:c r="I124" s="310" t="n">
        <x:v>178.3</x:v>
      </x:c>
    </x:row>
    <x:row r="125">
      <x:c r="A125" s="300" t="n">
        <x:v>6</x:v>
      </x:c>
      <x:c r="B125" s="300" t="str">
        <x:v>INTERNATIONAL COMMODITIES TRADING LTDA</x:v>
      </x:c>
      <x:c r="C125" s="300" t="str">
        <x:v>44303728000753</x:v>
      </x:c>
      <x:c r="D125" s="300" t="str">
        <x:v>SC</x:v>
      </x:c>
      <x:c r="E125" s="300" t="str">
        <x:v>27101249</x:v>
      </x:c>
      <x:c r="F125" s="300" t="str">
        <x:v>Outras</x:v>
      </x:c>
      <x:c r="G125" s="300" t="str">
        <x:v>ALF-Dionísio Cerqueira</x:v>
      </x:c>
      <x:c r="H125" s="300" t="str">
        <x:v>ARGENTINA</x:v>
      </x:c>
      <x:c r="I125" s="310" t="n">
        <x:v>66360</x:v>
      </x:c>
    </x:row>
    <x:row r="126">
      <x:c r="A126" s="300" t="n">
        <x:v>6</x:v>
      </x:c>
      <x:c r="B126" s="300" t="str">
        <x:v>REFINARIA DE MANAUS S.A.</x:v>
      </x:c>
      <x:c r="C126" s="300" t="str">
        <x:v>40180943000168</x:v>
      </x:c>
      <x:c r="D126" s="300" t="str">
        <x:v>AM</x:v>
      </x:c>
      <x:c r="E126" s="300" t="str">
        <x:v>27101249</x:v>
      </x:c>
      <x:c r="F126" s="300" t="str">
        <x:v>Outras</x:v>
      </x:c>
      <x:c r="G126" s="300" t="str">
        <x:v>ALF-Porto de Manaus</x:v>
      </x:c>
      <x:c r="H126" s="300" t="str">
        <x:v>RUSSIA</x:v>
      </x:c>
      <x:c r="I126" s="310" t="n">
        <x:v>34119983</x:v>
      </x:c>
    </x:row>
    <x:row r="127">
      <x:c r="A127" s="300" t="n">
        <x:v>6</x:v>
      </x:c>
      <x:c r="B127" s="300" t="str">
        <x:v>SAINT-GOBAIN DO BRASIL PRODUTOS INDUSTRIAIS E PARA CONSTRUCAO LTDA</x:v>
      </x:c>
      <x:c r="C127" s="300" t="str">
        <x:v>61064838016560</x:v>
      </x:c>
      <x:c r="D127" s="300" t="str">
        <x:v>SP</x:v>
      </x:c>
      <x:c r="E127" s="300" t="str">
        <x:v>27101249</x:v>
      </x:c>
      <x:c r="F127" s="300" t="str">
        <x:v>Outras naftas, exceto para petroquímica</x:v>
      </x:c>
      <x:c r="G127" s="300" t="str">
        <x:v>PORTO DE SANTOS</x:v>
      </x:c>
      <x:c r="H127" s="300" t="str">
        <x:v>CHINA</x:v>
      </x:c>
      <x:c r="I127" s="310" t="n">
        <x:v>22668</x:v>
      </x:c>
    </x:row>
    <x:row r="128">
      <x:c r="A128" s="300" t="n">
        <x:v>6</x:v>
      </x:c>
      <x:c r="B128" s="300" t="str">
        <x:v>SOCIEDADE MICHELIN DE PARTICIPACOES INDUST E COMERCIO LTDA</x:v>
      </x:c>
      <x:c r="C128" s="300" t="str">
        <x:v>50567288000744</x:v>
      </x:c>
      <x:c r="D128" s="300" t="str">
        <x:v>RJ</x:v>
      </x:c>
      <x:c r="E128" s="300" t="str">
        <x:v>27101249</x:v>
      </x:c>
      <x:c r="F128" s="300" t="str">
        <x:v>Outras naftas, exceto para petroquímica</x:v>
      </x:c>
      <x:c r="G128" s="300" t="str">
        <x:v>PORTO DO RIO DE JANEIRO</x:v>
      </x:c>
      <x:c r="H128" s="300" t="str">
        <x:v>BELGICA</x:v>
      </x:c>
      <x:c r="I128" s="310" t="n">
        <x:v>15700</x:v>
      </x:c>
    </x:row>
    <x:row r="129">
      <x:c r="A129" s="300" t="n">
        <x:v>6</x:v>
      </x:c>
      <x:c r="B129" s="300" t="str">
        <x:v>TAM LINHAS AEREAS S/A.</x:v>
      </x:c>
      <x:c r="C129" s="300" t="str">
        <x:v>02012862022996</x:v>
      </x:c>
      <x:c r="D129" s="300" t="str">
        <x:v>SP</x:v>
      </x:c>
      <x:c r="E129" s="300" t="str">
        <x:v>27101249</x:v>
      </x:c>
      <x:c r="F129" s="300" t="str">
        <x:v>Outras naftas, exceto para petroquímica</x:v>
      </x:c>
      <x:c r="G129" s="300" t="str">
        <x:v>AEROPORTO INTERNACIONAL DE SAO PAULO/GUARULHOS</x:v>
      </x:c>
      <x:c r="H129" s="300" t="str">
        <x:v>GRECIA</x:v>
      </x:c>
      <x:c r="I129" s="310" t="n">
        <x:v>40.5</x:v>
      </x:c>
    </x:row>
    <x:row r="130">
      <x:c r="A130" s="300" t="n">
        <x:v>6</x:v>
      </x:c>
      <x:c r="B130" s="300" t="str">
        <x:v>TAM LINHAS AEREAS S/A.</x:v>
      </x:c>
      <x:c r="C130" s="300" t="str">
        <x:v>02012862022996</x:v>
      </x:c>
      <x:c r="D130" s="300" t="str">
        <x:v>SP</x:v>
      </x:c>
      <x:c r="E130" s="300" t="str">
        <x:v>27101249</x:v>
      </x:c>
      <x:c r="F130" s="300" t="str">
        <x:v>Outras naftas, exceto para petroquímica</x:v>
      </x:c>
      <x:c r="G130" s="300" t="str">
        <x:v>AEROPORTO INTERNACIONAL DE VIRACOPOS</x:v>
      </x:c>
      <x:c r="H130" s="300" t="str">
        <x:v>ESTADOS UNIDOS</x:v>
      </x:c>
      <x:c r="I130" s="310" t="n">
        <x:v>20.952</x:v>
      </x:c>
    </x:row>
    <x:row r="131">
      <x:c r="A131" s="300" t="n">
        <x:v>6</x:v>
      </x:c>
      <x:c r="B131" s="300" t="str">
        <x:v>VERQUIMICA INDUSTRIA E COMERCIO DE PRODUTOS QUIMICOS EIRELI</x:v>
      </x:c>
      <x:c r="C131" s="300" t="str">
        <x:v>43588060000180</x:v>
      </x:c>
      <x:c r="D131" s="300" t="str">
        <x:v>SP</x:v>
      </x:c>
      <x:c r="E131" s="300" t="str">
        <x:v>27101249</x:v>
      </x:c>
      <x:c r="F131" s="300" t="str">
        <x:v>Outras</x:v>
      </x:c>
      <x:c r="G131" s="300" t="str">
        <x:v>ALF-Uruguaiana</x:v>
      </x:c>
      <x:c r="H131" s="300" t="str">
        <x:v>ARGENTINA</x:v>
      </x:c>
      <x:c r="I131" s="310" t="n">
        <x:v>21220</x:v>
      </x:c>
    </x:row>
    <x:row r="132">
      <x:c r="A132" s="300" t="n">
        <x:v>7</x:v>
      </x:c>
      <x:c r="B132" s="300" t="str">
        <x:v>BRASKEM S.A</x:v>
      </x:c>
      <x:c r="C132" s="300" t="str">
        <x:v>42150391000170</x:v>
      </x:c>
      <x:c r="D132" s="300" t="str">
        <x:v>BA</x:v>
      </x:c>
      <x:c r="E132" s="300" t="str">
        <x:v>27101241</x:v>
      </x:c>
      <x:c r="F132" s="300" t="str">
        <x:v>Naftas para petroquimica</x:v>
      </x:c>
      <x:c r="G132" s="300" t="str">
        <x:v>ALF - SALVADOR</x:v>
      </x:c>
      <x:c r="H132" s="300" t="str">
        <x:v>CANARIAS</x:v>
      </x:c>
      <x:c r="I132" s="310" t="n">
        <x:v>36547741</x:v>
      </x:c>
    </x:row>
    <x:row r="133">
      <x:c r="A133" s="300" t="n">
        <x:v>7</x:v>
      </x:c>
      <x:c r="B133" s="300" t="str">
        <x:v>BRASKEM S.A</x:v>
      </x:c>
      <x:c r="C133" s="300" t="str">
        <x:v>42150391000170</x:v>
      </x:c>
      <x:c r="D133" s="300" t="str">
        <x:v>BA</x:v>
      </x:c>
      <x:c r="E133" s="300" t="str">
        <x:v>27101241</x:v>
      </x:c>
      <x:c r="F133" s="300" t="str">
        <x:v>Naftas para petroquimica</x:v>
      </x:c>
      <x:c r="G133" s="300" t="str">
        <x:v>ALF - SALVADOR</x:v>
      </x:c>
      <x:c r="H133" s="300" t="str">
        <x:v>ESTADOS UNIDOS</x:v>
      </x:c>
      <x:c r="I133" s="310" t="n">
        <x:v>115621163</x:v>
      </x:c>
    </x:row>
    <x:row r="134">
      <x:c r="A134" s="300" t="n">
        <x:v>7</x:v>
      </x:c>
      <x:c r="B134" s="300" t="str">
        <x:v>BRASKEM S.A</x:v>
      </x:c>
      <x:c r="C134" s="300" t="str">
        <x:v>42150391003862</x:v>
      </x:c>
      <x:c r="D134" s="300" t="str">
        <x:v>RS</x:v>
      </x:c>
      <x:c r="E134" s="300" t="str">
        <x:v>27101241</x:v>
      </x:c>
      <x:c r="F134" s="300" t="str">
        <x:v>Naftas para petroquimica</x:v>
      </x:c>
      <x:c r="G134" s="300" t="str">
        <x:v>ALF - PORTO ALEGRE</x:v>
      </x:c>
      <x:c r="H134" s="300" t="str">
        <x:v>ARGENTINA</x:v>
      </x:c>
      <x:c r="I134" s="310" t="n">
        <x:v>24825037</x:v>
      </x:c>
    </x:row>
    <x:row r="135">
      <x:c r="A135" s="300" t="n">
        <x:v>7</x:v>
      </x:c>
      <x:c r="B135" s="300" t="str">
        <x:v>BRENNTAG QUIMICA BRASIL LTDA.</x:v>
      </x:c>
      <x:c r="C135" s="300" t="str">
        <x:v>33391434001603</x:v>
      </x:c>
      <x:c r="D135" s="300" t="str">
        <x:v>RS</x:v>
      </x:c>
      <x:c r="E135" s="300" t="str">
        <x:v>27101249</x:v>
      </x:c>
      <x:c r="F135" s="300" t="str">
        <x:v>Outras</x:v>
      </x:c>
      <x:c r="G135" s="300" t="str">
        <x:v>ALF-Uruguaiana</x:v>
      </x:c>
      <x:c r="H135" s="300" t="str">
        <x:v>ARGENTINA</x:v>
      </x:c>
      <x:c r="I135" s="310" t="n">
        <x:v>100940</x:v>
      </x:c>
    </x:row>
    <x:row r="136">
      <x:c r="A136" s="300" t="n">
        <x:v>7</x:v>
      </x:c>
      <x:c r="B136" s="300" t="str">
        <x:v>BRENNTAG QUIMICA BRASIL LTDA.</x:v>
      </x:c>
      <x:c r="C136" s="300" t="str">
        <x:v>33391434002405</x:v>
      </x:c>
      <x:c r="D136" s="300" t="str">
        <x:v>SP</x:v>
      </x:c>
      <x:c r="E136" s="300" t="str">
        <x:v>27101249</x:v>
      </x:c>
      <x:c r="F136" s="300" t="str">
        <x:v>Outras</x:v>
      </x:c>
      <x:c r="G136" s="300" t="str">
        <x:v>ALF-Uruguaiana</x:v>
      </x:c>
      <x:c r="H136" s="300" t="str">
        <x:v>ARGENTINA</x:v>
      </x:c>
      <x:c r="I136" s="310" t="n">
        <x:v>25580</x:v>
      </x:c>
    </x:row>
    <x:row r="137">
      <x:c r="A137" s="300" t="n">
        <x:v>7</x:v>
      </x:c>
      <x:c r="B137" s="300" t="str">
        <x:v>BRENNTAG QUIMICA BRASIL LTDA.</x:v>
      </x:c>
      <x:c r="C137" s="300" t="str">
        <x:v>33391434002405</x:v>
      </x:c>
      <x:c r="D137" s="300" t="str">
        <x:v>SP</x:v>
      </x:c>
      <x:c r="E137" s="300" t="str">
        <x:v>27101249</x:v>
      </x:c>
      <x:c r="F137" s="300" t="str">
        <x:v>Outras naftas, exceto para petroquímica</x:v>
      </x:c>
      <x:c r="G137" s="300" t="str">
        <x:v>PORTO DE SANTOS</x:v>
      </x:c>
      <x:c r="H137" s="300" t="str">
        <x:v>ESTADOS UNIDOS</x:v>
      </x:c>
      <x:c r="I137" s="310" t="n">
        <x:v>31542.788</x:v>
      </x:c>
    </x:row>
    <x:row r="138">
      <x:c r="A138" s="300" t="n">
        <x:v>7</x:v>
      </x:c>
      <x:c r="B138" s="300" t="str">
        <x:v>ENVIRONMENTAL SCIENCE DO BRASIL LTDA.</x:v>
      </x:c>
      <x:c r="C138" s="300" t="str">
        <x:v>45698161000210</x:v>
      </x:c>
      <x:c r="D138" s="300" t="str">
        <x:v>SP</x:v>
      </x:c>
      <x:c r="E138" s="300" t="str">
        <x:v>27101249</x:v>
      </x:c>
      <x:c r="F138" s="300" t="str">
        <x:v>Outras naftas, exceto para petroquímica</x:v>
      </x:c>
      <x:c r="G138" s="300" t="str">
        <x:v>PORTO DE SANTOS</x:v>
      </x:c>
      <x:c r="H138" s="300" t="str">
        <x:v>BELGICA</x:v>
      </x:c>
      <x:c r="I138" s="310" t="n">
        <x:v>20180</x:v>
      </x:c>
    </x:row>
    <x:row r="139">
      <x:c r="A139" s="300" t="n">
        <x:v>7</x:v>
      </x:c>
      <x:c r="B139" s="300" t="str">
        <x:v>FARBEN SA INDUSTRIA QUIMICA</x:v>
      </x:c>
      <x:c r="C139" s="300" t="str">
        <x:v>85111441000113</x:v>
      </x:c>
      <x:c r="D139" s="300" t="str">
        <x:v>SC</x:v>
      </x:c>
      <x:c r="E139" s="300" t="str">
        <x:v>27101249</x:v>
      </x:c>
      <x:c r="F139" s="300" t="str">
        <x:v>Outras</x:v>
      </x:c>
      <x:c r="G139" s="300" t="str">
        <x:v>ALF-Uruguaiana</x:v>
      </x:c>
      <x:c r="H139" s="300" t="str">
        <x:v>ARGENTINA</x:v>
      </x:c>
      <x:c r="I139" s="310" t="n">
        <x:v>88020</x:v>
      </x:c>
    </x:row>
    <x:row r="140">
      <x:c r="A140" s="300" t="n">
        <x:v>7</x:v>
      </x:c>
      <x:c r="B140" s="300" t="str">
        <x:v>GOL LINHAS AEREAS S.A.</x:v>
      </x:c>
      <x:c r="C140" s="300" t="str">
        <x:v>07575651003689</x:v>
      </x:c>
      <x:c r="D140" s="300" t="str">
        <x:v>MG</x:v>
      </x:c>
      <x:c r="E140" s="300" t="str">
        <x:v>27101249</x:v>
      </x:c>
      <x:c r="F140" s="300" t="str">
        <x:v>Outras naftas, exceto para petroquímica</x:v>
      </x:c>
      <x:c r="G140" s="300" t="str">
        <x:v>AEROPORTO INTERNACIONAL DE SAO PAULO/GUARULHOS</x:v>
      </x:c>
      <x:c r="H140" s="300" t="str">
        <x:v>SUICA</x:v>
      </x:c>
      <x:c r="I140" s="310" t="n">
        <x:v>6</x:v>
      </x:c>
    </x:row>
    <x:row r="141">
      <x:c r="A141" s="300" t="n">
        <x:v>7</x:v>
      </x:c>
      <x:c r="B141" s="300" t="str">
        <x:v>GOL LINHAS AEREAS S.A.</x:v>
      </x:c>
      <x:c r="C141" s="300" t="str">
        <x:v>07575651003689</x:v>
      </x:c>
      <x:c r="D141" s="300" t="str">
        <x:v>MG</x:v>
      </x:c>
      <x:c r="E141" s="300" t="str">
        <x:v>27101249</x:v>
      </x:c>
      <x:c r="F141" s="300" t="str">
        <x:v>Outras naftas, exceto para petroquímica</x:v>
      </x:c>
      <x:c r="G141" s="300" t="str">
        <x:v>AEROPORTO INTERNACIONAL DE VIRACOPOS</x:v>
      </x:c>
      <x:c r="H141" s="300" t="str">
        <x:v>ESTADOS UNIDOS</x:v>
      </x:c>
      <x:c r="I141" s="310" t="n">
        <x:v>0.918</x:v>
      </x:c>
    </x:row>
    <x:row r="142">
      <x:c r="A142" s="300" t="n">
        <x:v>7</x:v>
      </x:c>
      <x:c r="B142" s="300" t="str">
        <x:v>ITW CHEMICAL PRODUCTS LTDA</x:v>
      </x:c>
      <x:c r="C142" s="300" t="str">
        <x:v>03102205000176</x:v>
      </x:c>
      <x:c r="D142" s="300" t="str">
        <x:v>SP</x:v>
      </x:c>
      <x:c r="E142" s="300" t="str">
        <x:v>27101249</x:v>
      </x:c>
      <x:c r="F142" s="300" t="str">
        <x:v>Outras naftas, exceto para petroquímica</x:v>
      </x:c>
      <x:c r="G142" s="300" t="str">
        <x:v>PORTO DE SANTOS</x:v>
      </x:c>
      <x:c r="H142" s="300" t="str">
        <x:v>ESTADOS UNIDOS</x:v>
      </x:c>
      <x:c r="I142" s="310" t="n">
        <x:v>5.89</x:v>
      </x:c>
    </x:row>
    <x:row r="143">
      <x:c r="A143" s="300" t="n">
        <x:v>7</x:v>
      </x:c>
      <x:c r="B143" s="300" t="str">
        <x:v>JOHNSON &amp; JOHNSON DO BRASIL INDUSTRIA E COMERCIO DE PRODUTOS PARA SAUDE LTDA.</x:v>
      </x:c>
      <x:c r="C143" s="300" t="str">
        <x:v>54516661000284</x:v>
      </x:c>
      <x:c r="D143" s="300" t="str">
        <x:v>SP</x:v>
      </x:c>
      <x:c r="E143" s="300" t="str">
        <x:v>27101249</x:v>
      </x:c>
      <x:c r="F143" s="300" t="str">
        <x:v>Outras naftas, exceto para petroquímica</x:v>
      </x:c>
      <x:c r="G143" s="300" t="str">
        <x:v>AEROPORTO INTERNACIONAL DE VIRACOPOS</x:v>
      </x:c>
      <x:c r="H143" s="300" t="str">
        <x:v>ESTADOS UNIDOS</x:v>
      </x:c>
      <x:c r="I143" s="310" t="n">
        <x:v>128.8</x:v>
      </x:c>
    </x:row>
    <x:row r="144">
      <x:c r="A144" s="300" t="n">
        <x:v>7</x:v>
      </x:c>
      <x:c r="B144" s="300" t="str">
        <x:v>MAGNUS COMERCIAL IMP. E EXP. LTDA</x:v>
      </x:c>
      <x:c r="C144" s="300" t="str">
        <x:v>55015808000134</x:v>
      </x:c>
      <x:c r="D144" s="300" t="str">
        <x:v>SC</x:v>
      </x:c>
      <x:c r="E144" s="300" t="str">
        <x:v>27101249</x:v>
      </x:c>
      <x:c r="F144" s="300" t="str">
        <x:v>Outras</x:v>
      </x:c>
      <x:c r="G144" s="300" t="str">
        <x:v>ALF-Dionísio Cerqueira</x:v>
      </x:c>
      <x:c r="H144" s="300" t="str">
        <x:v>ARGENTINA</x:v>
      </x:c>
      <x:c r="I144" s="310" t="n">
        <x:v>24400</x:v>
      </x:c>
    </x:row>
    <x:row r="145">
      <x:c r="A145" s="300" t="n">
        <x:v>7</x:v>
      </x:c>
      <x:c r="B145" s="300" t="str">
        <x:v>METAL CHEK DO BRASIL INDUSTRIA E COMERCIO LTDA</x:v>
      </x:c>
      <x:c r="C145" s="300" t="str">
        <x:v>50892934000153</x:v>
      </x:c>
      <x:c r="D145" s="300" t="str">
        <x:v>SP</x:v>
      </x:c>
      <x:c r="E145" s="300" t="str">
        <x:v>27101249</x:v>
      </x:c>
      <x:c r="F145" s="300" t="str">
        <x:v>Outras naftas, exceto para petroquímica</x:v>
      </x:c>
      <x:c r="G145" s="300" t="str">
        <x:v>PORTO DE SANTOS</x:v>
      </x:c>
      <x:c r="H145" s="300" t="str">
        <x:v>ESTADOS UNIDOS</x:v>
      </x:c>
      <x:c r="I145" s="310" t="n">
        <x:v>90.9</x:v>
      </x:c>
    </x:row>
    <x:row r="146">
      <x:c r="A146" s="300" t="n">
        <x:v>7</x:v>
      </x:c>
      <x:c r="B146" s="300" t="str">
        <x:v>REFINARIA DE MANAUS S.A.</x:v>
      </x:c>
      <x:c r="C146" s="300" t="str">
        <x:v>40180943000168</x:v>
      </x:c>
      <x:c r="D146" s="300" t="str">
        <x:v>AM</x:v>
      </x:c>
      <x:c r="E146" s="300" t="str">
        <x:v>27101249</x:v>
      </x:c>
      <x:c r="F146" s="300" t="str">
        <x:v>Outras</x:v>
      </x:c>
      <x:c r="G146" s="300" t="str">
        <x:v>ALF-Porto de Manaus</x:v>
      </x:c>
      <x:c r="H146" s="300" t="str">
        <x:v>RUSSIA</x:v>
      </x:c>
      <x:c r="I146" s="310" t="n">
        <x:v>36377440</x:v>
      </x:c>
    </x:row>
    <x:row r="147">
      <x:c r="A147" s="300" t="n">
        <x:v>7</x:v>
      </x:c>
      <x:c r="B147" s="300" t="str">
        <x:v>SOCIEDADE MICHELIN DE PARTICIPACOES INDUST E COMERCIO LTDA</x:v>
      </x:c>
      <x:c r="C147" s="300" t="str">
        <x:v>50567288000744</x:v>
      </x:c>
      <x:c r="D147" s="300" t="str">
        <x:v>RJ</x:v>
      </x:c>
      <x:c r="E147" s="300" t="str">
        <x:v>27101249</x:v>
      </x:c>
      <x:c r="F147" s="300" t="str">
        <x:v>Outras naftas, exceto para petroquímica</x:v>
      </x:c>
      <x:c r="G147" s="300" t="str">
        <x:v>PORTO DO RIO DE JANEIRO</x:v>
      </x:c>
      <x:c r="H147" s="300" t="str">
        <x:v>BELGICA</x:v>
      </x:c>
      <x:c r="I147" s="310" t="n">
        <x:v>16460</x:v>
      </x:c>
    </x:row>
    <x:row r="148">
      <x:c r="A148" s="300" t="n">
        <x:v>7</x:v>
      </x:c>
      <x:c r="B148" s="300" t="str">
        <x:v>SUMITOMO RUBBER DO BRASIL LTDA.</x:v>
      </x:c>
      <x:c r="C148" s="300" t="str">
        <x:v>13816470000170</x:v>
      </x:c>
      <x:c r="D148" s="300" t="str">
        <x:v>PR</x:v>
      </x:c>
      <x:c r="E148" s="300" t="str">
        <x:v>27101249</x:v>
      </x:c>
      <x:c r="F148" s="300" t="str">
        <x:v>Outras naftas, exceto para petroquímica</x:v>
      </x:c>
      <x:c r="G148" s="300" t="str">
        <x:v>PORTO DE PARANAGUA</x:v>
      </x:c>
      <x:c r="H148" s="300" t="str">
        <x:v>ESTADOS UNIDOS</x:v>
      </x:c>
      <x:c r="I148" s="310" t="n">
        <x:v>870.84</x:v>
      </x:c>
    </x:row>
    <x:row r="149">
      <x:c r="A149" s="300" t="n">
        <x:v>7</x:v>
      </x:c>
      <x:c r="B149" s="300" t="str">
        <x:v>UBA-FERROMINAS PERFILADOS LTDA.</x:v>
      </x:c>
      <x:c r="C149" s="300" t="str">
        <x:v>15562372000260</x:v>
      </x:c>
      <x:c r="D149" s="300" t="str">
        <x:v>MG</x:v>
      </x:c>
      <x:c r="E149" s="300" t="str">
        <x:v>27101249</x:v>
      </x:c>
      <x:c r="F149" s="300" t="str">
        <x:v>Outras naftas, exceto para petroquímica</x:v>
      </x:c>
      <x:c r="G149" s="300" t="str">
        <x:v>PORTO DE SANTOS</x:v>
      </x:c>
      <x:c r="H149" s="300" t="str">
        <x:v>COREIA DO SUL</x:v>
      </x:c>
      <x:c r="I149" s="310" t="n">
        <x:v>14840</x:v>
      </x:c>
    </x:row>
    <x:row r="150">
      <x:c r="A150" s="300" t="n">
        <x:v>7</x:v>
      </x:c>
      <x:c r="B150" s="300" t="str">
        <x:v>VESTAS DO BRASIL ENERGIA EOLICA LTDA</x:v>
      </x:c>
      <x:c r="C150" s="300" t="str">
        <x:v>04919351001980</x:v>
      </x:c>
      <x:c r="D150" s="300" t="str">
        <x:v>RN</x:v>
      </x:c>
      <x:c r="E150" s="300" t="str">
        <x:v>27101249</x:v>
      </x:c>
      <x:c r="F150" s="300" t="str">
        <x:v>Outras naftas, exceto para petroquímica</x:v>
      </x:c>
      <x:c r="G150" s="300" t="str">
        <x:v>IRF - AEROPORTO INTERNACIONAL PINTO MARTINS</x:v>
      </x:c>
      <x:c r="H150" s="300" t="str">
        <x:v>DINAMARCA</x:v>
      </x:c>
      <x:c r="I150" s="310" t="n">
        <x:v>4.5</x:v>
      </x:c>
    </x:row>
    <x:row r="151">
      <x:c r="A151" s="300" t="n">
        <x:v>8</x:v>
      </x:c>
      <x:c r="B151" s="300" t="str">
        <x:v>BAKER HUGHES DO BRASIL LTDA</x:v>
      </x:c>
      <x:c r="C151" s="300" t="str">
        <x:v>42087254000643</x:v>
      </x:c>
      <x:c r="D151" s="300" t="str">
        <x:v>RJ</x:v>
      </x:c>
      <x:c r="E151" s="300" t="str">
        <x:v>27101249</x:v>
      </x:c>
      <x:c r="F151" s="300" t="str">
        <x:v>Outras naftas, exceto para petroquímica</x:v>
      </x:c>
      <x:c r="G151" s="300" t="str">
        <x:v>AEROPORTO INTERNACIONAL GALEÃO</x:v>
      </x:c>
      <x:c r="H151" s="300" t="str">
        <x:v>ALEMANHA</x:v>
      </x:c>
      <x:c r="I151" s="310" t="n">
        <x:v>23</x:v>
      </x:c>
    </x:row>
    <x:row r="152">
      <x:c r="A152" s="300" t="n">
        <x:v>8</x:v>
      </x:c>
      <x:c r="B152" s="300" t="str">
        <x:v>BANDEIRANTE QUIMICA LIMITADA</x:v>
      </x:c>
      <x:c r="C152" s="300" t="str">
        <x:v>47854831002057</x:v>
      </x:c>
      <x:c r="D152" s="300" t="str">
        <x:v>SP</x:v>
      </x:c>
      <x:c r="E152" s="300" t="str">
        <x:v>27101249</x:v>
      </x:c>
      <x:c r="F152" s="300" t="str">
        <x:v>Outras naftas, exceto para petroquímica</x:v>
      </x:c>
      <x:c r="G152" s="300" t="str">
        <x:v>PORTO DE SANTOS</x:v>
      </x:c>
      <x:c r="H152" s="300" t="str">
        <x:v>FRANCA</x:v>
      </x:c>
      <x:c r="I152" s="310" t="n">
        <x:v>15500</x:v>
      </x:c>
    </x:row>
    <x:row r="153">
      <x:c r="A153" s="300" t="n">
        <x:v>8</x:v>
      </x:c>
      <x:c r="B153" s="300" t="str">
        <x:v>BRASKEM S.A</x:v>
      </x:c>
      <x:c r="C153" s="300" t="str">
        <x:v>42150391000170</x:v>
      </x:c>
      <x:c r="D153" s="300" t="str">
        <x:v>BA</x:v>
      </x:c>
      <x:c r="E153" s="300" t="str">
        <x:v>27101241</x:v>
      </x:c>
      <x:c r="F153" s="300" t="str">
        <x:v>Naftas para petroquimica</x:v>
      </x:c>
      <x:c r="G153" s="300" t="str">
        <x:v>ALF - SALVADOR</x:v>
      </x:c>
      <x:c r="H153" s="300" t="str">
        <x:v>ESTADOS UNIDOS</x:v>
      </x:c>
      <x:c r="I153" s="310" t="n">
        <x:v>128610440.276</x:v>
      </x:c>
    </x:row>
    <x:row r="154">
      <x:c r="A154" s="300" t="n">
        <x:v>8</x:v>
      </x:c>
      <x:c r="B154" s="300" t="str">
        <x:v>BRASKEM S.A</x:v>
      </x:c>
      <x:c r="C154" s="300" t="str">
        <x:v>42150391003862</x:v>
      </x:c>
      <x:c r="D154" s="300" t="str">
        <x:v>RS</x:v>
      </x:c>
      <x:c r="E154" s="300" t="str">
        <x:v>27101241</x:v>
      </x:c>
      <x:c r="F154" s="300" t="str">
        <x:v>Naftas para petroquimica</x:v>
      </x:c>
      <x:c r="G154" s="300" t="str">
        <x:v>ALF - PORTO ALEGRE</x:v>
      </x:c>
      <x:c r="H154" s="300" t="str">
        <x:v>ARGELIA</x:v>
      </x:c>
      <x:c r="I154" s="310" t="n">
        <x:v>85411854</x:v>
      </x:c>
    </x:row>
    <x:row r="155">
      <x:c r="A155" s="300" t="n">
        <x:v>8</x:v>
      </x:c>
      <x:c r="B155" s="300" t="str">
        <x:v>BRASKEM S.A</x:v>
      </x:c>
      <x:c r="C155" s="300" t="str">
        <x:v>42150391003862</x:v>
      </x:c>
      <x:c r="D155" s="300" t="str">
        <x:v>RS</x:v>
      </x:c>
      <x:c r="E155" s="300" t="str">
        <x:v>27101241</x:v>
      </x:c>
      <x:c r="F155" s="300" t="str">
        <x:v>Naftas para petroquimica</x:v>
      </x:c>
      <x:c r="G155" s="300" t="str">
        <x:v>ALF - PORTO ALEGRE</x:v>
      </x:c>
      <x:c r="H155" s="300" t="str">
        <x:v>ARGENTINA</x:v>
      </x:c>
      <x:c r="I155" s="310" t="n">
        <x:v>26371369</x:v>
      </x:c>
    </x:row>
    <x:row r="156">
      <x:c r="A156" s="300" t="n">
        <x:v>8</x:v>
      </x:c>
      <x:c r="B156" s="300" t="str">
        <x:v>BRENNTAG QUIMICA BRASIL LTDA.</x:v>
      </x:c>
      <x:c r="C156" s="300" t="str">
        <x:v>33391434001603</x:v>
      </x:c>
      <x:c r="D156" s="300" t="str">
        <x:v>RS</x:v>
      </x:c>
      <x:c r="E156" s="300" t="str">
        <x:v>27101249</x:v>
      </x:c>
      <x:c r="F156" s="300" t="str">
        <x:v>Outras</x:v>
      </x:c>
      <x:c r="G156" s="300" t="str">
        <x:v>ALF-Uruguaiana</x:v>
      </x:c>
      <x:c r="H156" s="300" t="str">
        <x:v>ARGENTINA</x:v>
      </x:c>
      <x:c r="I156" s="310" t="n">
        <x:v>76100</x:v>
      </x:c>
    </x:row>
    <x:row r="157">
      <x:c r="A157" s="300" t="n">
        <x:v>8</x:v>
      </x:c>
      <x:c r="B157" s="300" t="str">
        <x:v>BRENNTAG QUIMICA BRASIL LTDA.</x:v>
      </x:c>
      <x:c r="C157" s="300" t="str">
        <x:v>33391434002405</x:v>
      </x:c>
      <x:c r="D157" s="300" t="str">
        <x:v>SP</x:v>
      </x:c>
      <x:c r="E157" s="300" t="str">
        <x:v>27101249</x:v>
      </x:c>
      <x:c r="F157" s="300" t="str">
        <x:v>Outras naftas, exceto para petroquímica</x:v>
      </x:c>
      <x:c r="G157" s="300" t="str">
        <x:v>PORTO DE SANTOS</x:v>
      </x:c>
      <x:c r="H157" s="300" t="str">
        <x:v>ESTADOS UNIDOS</x:v>
      </x:c>
      <x:c r="I157" s="310" t="n">
        <x:v>31361.351000000002</x:v>
      </x:c>
    </x:row>
    <x:row r="158">
      <x:c r="A158" s="300" t="n">
        <x:v>8</x:v>
      </x:c>
      <x:c r="B158" s="300" t="str">
        <x:v>C Q A COMERCIAL QUIMICA AMERICANA LTDA</x:v>
      </x:c>
      <x:c r="C158" s="300" t="str">
        <x:v>69259182000116</x:v>
      </x:c>
      <x:c r="D158" s="300" t="str">
        <x:v>SP</x:v>
      </x:c>
      <x:c r="E158" s="300" t="str">
        <x:v>27101249</x:v>
      </x:c>
      <x:c r="F158" s="300" t="str">
        <x:v>Outras naftas, exceto para petroquímica</x:v>
      </x:c>
      <x:c r="G158" s="300" t="str">
        <x:v>PORTO DE SANTOS</x:v>
      </x:c>
      <x:c r="H158" s="300" t="str">
        <x:v>CANARIAS</x:v>
      </x:c>
      <x:c r="I158" s="310" t="n">
        <x:v>40.325</x:v>
      </x:c>
    </x:row>
    <x:row r="159">
      <x:c r="A159" s="300" t="n">
        <x:v>8</x:v>
      </x:c>
      <x:c r="B159" s="300" t="str">
        <x:v>FARBEN SA INDUSTRIA QUIMICA</x:v>
      </x:c>
      <x:c r="C159" s="300" t="str">
        <x:v>85111441000113</x:v>
      </x:c>
      <x:c r="D159" s="300" t="str">
        <x:v>SC</x:v>
      </x:c>
      <x:c r="E159" s="300" t="str">
        <x:v>27101249</x:v>
      </x:c>
      <x:c r="F159" s="300" t="str">
        <x:v>Outras</x:v>
      </x:c>
      <x:c r="G159" s="300" t="str">
        <x:v>ALF-Uruguaiana</x:v>
      </x:c>
      <x:c r="H159" s="300" t="str">
        <x:v>ARGENTINA</x:v>
      </x:c>
      <x:c r="I159" s="310" t="n">
        <x:v>22600</x:v>
      </x:c>
    </x:row>
    <x:row r="160">
      <x:c r="A160" s="300" t="n">
        <x:v>8</x:v>
      </x:c>
      <x:c r="B160" s="300" t="str">
        <x:v>GOL LINHAS AEREAS S.A.</x:v>
      </x:c>
      <x:c r="C160" s="300" t="str">
        <x:v>07575651003689</x:v>
      </x:c>
      <x:c r="D160" s="300" t="str">
        <x:v>MG</x:v>
      </x:c>
      <x:c r="E160" s="300" t="str">
        <x:v>27101249</x:v>
      </x:c>
      <x:c r="F160" s="300" t="str">
        <x:v>Outras naftas, exceto para petroquímica</x:v>
      </x:c>
      <x:c r="G160" s="300" t="str">
        <x:v>AEROPORTO INTERNACIONAL DE VIRACOPOS</x:v>
      </x:c>
      <x:c r="H160" s="300" t="str">
        <x:v>ESTADOS UNIDOS</x:v>
      </x:c>
      <x:c r="I160" s="310" t="n">
        <x:v>174.25</x:v>
      </x:c>
    </x:row>
    <x:row r="161">
      <x:c r="A161" s="300" t="n">
        <x:v>8</x:v>
      </x:c>
      <x:c r="B161" s="300" t="str">
        <x:v>GOL LINHAS AEREAS S.A.</x:v>
      </x:c>
      <x:c r="C161" s="300" t="str">
        <x:v>07575651003689</x:v>
      </x:c>
      <x:c r="D161" s="300" t="str">
        <x:v>MG</x:v>
      </x:c>
      <x:c r="E161" s="300" t="str">
        <x:v>27101249</x:v>
      </x:c>
      <x:c r="F161" s="300" t="str">
        <x:v>Outras naftas, exceto para petroquímica</x:v>
      </x:c>
      <x:c r="G161" s="300" t="str">
        <x:v>ALF - BELO HORIZONTE</x:v>
      </x:c>
      <x:c r="H161" s="300" t="str">
        <x:v>ESTADOS UNIDOS</x:v>
      </x:c>
      <x:c r="I161" s="310" t="n">
        <x:v>278.8</x:v>
      </x:c>
    </x:row>
    <x:row r="162">
      <x:c r="A162" s="300" t="n">
        <x:v>8</x:v>
      </x:c>
      <x:c r="B162" s="300" t="str">
        <x:v>INTERNATIONAL COMMODITIES TRADING LTDA</x:v>
      </x:c>
      <x:c r="C162" s="300" t="str">
        <x:v>44303728000753</x:v>
      </x:c>
      <x:c r="D162" s="300" t="str">
        <x:v>SC</x:v>
      </x:c>
      <x:c r="E162" s="300" t="str">
        <x:v>27101249</x:v>
      </x:c>
      <x:c r="F162" s="300" t="str">
        <x:v>Outras</x:v>
      </x:c>
      <x:c r="G162" s="300" t="str">
        <x:v>ALF-Dionísio Cerqueira</x:v>
      </x:c>
      <x:c r="H162" s="300" t="str">
        <x:v>ARGENTINA</x:v>
      </x:c>
      <x:c r="I162" s="310" t="n">
        <x:v>26740</x:v>
      </x:c>
    </x:row>
    <x:row r="163">
      <x:c r="A163" s="300" t="n">
        <x:v>8</x:v>
      </x:c>
      <x:c r="B163" s="300" t="str">
        <x:v>JOHNSON &amp; JOHNSON DO BRASIL INDUSTRIA E COMERCIO DE PRODUTOS PARA SAUDE LTDA.</x:v>
      </x:c>
      <x:c r="C163" s="300" t="str">
        <x:v>54516661000284</x:v>
      </x:c>
      <x:c r="D163" s="300" t="str">
        <x:v>SP</x:v>
      </x:c>
      <x:c r="E163" s="300" t="str">
        <x:v>27101249</x:v>
      </x:c>
      <x:c r="F163" s="300" t="str">
        <x:v>Outras naftas, exceto para petroquímica</x:v>
      </x:c>
      <x:c r="G163" s="300" t="str">
        <x:v>AEROPORTO INTERNACIONAL DE VIRACOPOS</x:v>
      </x:c>
      <x:c r="H163" s="300" t="str">
        <x:v>ESTADOS UNIDOS</x:v>
      </x:c>
      <x:c r="I163" s="310" t="n">
        <x:v>263.2</x:v>
      </x:c>
    </x:row>
    <x:row r="164">
      <x:c r="A164" s="300" t="n">
        <x:v>8</x:v>
      </x:c>
      <x:c r="B164" s="300" t="str">
        <x:v>MAGNUS COMERCIAL IMP. E EXP. LTDA</x:v>
      </x:c>
      <x:c r="C164" s="300" t="str">
        <x:v>55015808000134</x:v>
      </x:c>
      <x:c r="D164" s="300" t="str">
        <x:v>SC</x:v>
      </x:c>
      <x:c r="E164" s="300" t="str">
        <x:v>27101249</x:v>
      </x:c>
      <x:c r="F164" s="300" t="str">
        <x:v>Outras</x:v>
      </x:c>
      <x:c r="G164" s="300" t="str">
        <x:v>ALF-Dionísio Cerqueira</x:v>
      </x:c>
      <x:c r="H164" s="300" t="str">
        <x:v>ARGENTINA</x:v>
      </x:c>
      <x:c r="I164" s="310" t="n">
        <x:v>23700</x:v>
      </x:c>
    </x:row>
    <x:row r="165">
      <x:c r="A165" s="300" t="n">
        <x:v>8</x:v>
      </x:c>
      <x:c r="B165" s="300" t="str">
        <x:v>PPG INDUSTRIAL DO BRASIL - TINTAS E VERNIZES - LTDA.</x:v>
      </x:c>
      <x:c r="C165" s="300" t="str">
        <x:v>43996693000127</x:v>
      </x:c>
      <x:c r="D165" s="300" t="str">
        <x:v>SP</x:v>
      </x:c>
      <x:c r="E165" s="300" t="str">
        <x:v>27101249</x:v>
      </x:c>
      <x:c r="F165" s="300" t="str">
        <x:v>Outras naftas, exceto para petroquímica</x:v>
      </x:c>
      <x:c r="G165" s="300" t="str">
        <x:v>PORTO DE SANTOS</x:v>
      </x:c>
      <x:c r="H165" s="300" t="str">
        <x:v>ESTADOS UNIDOS</x:v>
      </x:c>
      <x:c r="I165" s="310" t="n">
        <x:v>609.6384</x:v>
      </x:c>
    </x:row>
    <x:row r="166">
      <x:c r="A166" s="300" t="n">
        <x:v>8</x:v>
      </x:c>
      <x:c r="B166" s="300" t="str">
        <x:v>SAINT-GOBAIN DO BRASIL PRODUTOS INDUSTRIAIS E PARA CONSTRUCAO LTDA</x:v>
      </x:c>
      <x:c r="C166" s="300" t="str">
        <x:v>61064838016560</x:v>
      </x:c>
      <x:c r="D166" s="300" t="str">
        <x:v>SP</x:v>
      </x:c>
      <x:c r="E166" s="300" t="str">
        <x:v>27101249</x:v>
      </x:c>
      <x:c r="F166" s="300" t="str">
        <x:v>Outras naftas, exceto para petroquímica</x:v>
      </x:c>
      <x:c r="G166" s="300" t="str">
        <x:v>PORTO DE SANTOS</x:v>
      </x:c>
      <x:c r="H166" s="300" t="str">
        <x:v>CHINA</x:v>
      </x:c>
      <x:c r="I166" s="310" t="n">
        <x:v>24693.6</x:v>
      </x:c>
    </x:row>
    <x:row r="167">
      <x:c r="A167" s="300" t="n">
        <x:v>8</x:v>
      </x:c>
      <x:c r="B167" s="300" t="str">
        <x:v>SOCIEDADE MICHELIN DE PARTICIPACOES INDUST E COMERCIO LTDA</x:v>
      </x:c>
      <x:c r="C167" s="300" t="str">
        <x:v>50567288000744</x:v>
      </x:c>
      <x:c r="D167" s="300" t="str">
        <x:v>RJ</x:v>
      </x:c>
      <x:c r="E167" s="300" t="str">
        <x:v>27101249</x:v>
      </x:c>
      <x:c r="F167" s="300" t="str">
        <x:v>Outras naftas, exceto para petroquímica</x:v>
      </x:c>
      <x:c r="G167" s="300" t="str">
        <x:v>PORTO DO RIO DE JANEIRO</x:v>
      </x:c>
      <x:c r="H167" s="300" t="str">
        <x:v>BELGICA</x:v>
      </x:c>
      <x:c r="I167" s="310" t="n">
        <x:v>15820</x:v>
      </x:c>
    </x:row>
    <x:row r="168">
      <x:c r="A168" s="300" t="n">
        <x:v>8</x:v>
      </x:c>
      <x:c r="B168" s="300" t="str">
        <x:v>VESTAS DO BRASIL ENERGIA EOLICA LTDA</x:v>
      </x:c>
      <x:c r="C168" s="300" t="str">
        <x:v>04919351001980</x:v>
      </x:c>
      <x:c r="D168" s="300" t="str">
        <x:v>RN</x:v>
      </x:c>
      <x:c r="E168" s="300" t="str">
        <x:v>27101249</x:v>
      </x:c>
      <x:c r="F168" s="300" t="str">
        <x:v>Outras naftas, exceto para petroquímica</x:v>
      </x:c>
      <x:c r="G168" s="300" t="str">
        <x:v>IRF - AEROPORTO INTERNACIONAL PINTO MARTINS</x:v>
      </x:c>
      <x:c r="H168" s="300" t="str">
        <x:v>DINAMARCA</x:v>
      </x:c>
      <x:c r="I168" s="310" t="n">
        <x:v>5.25</x:v>
      </x:c>
    </x:row>
  </x:sheetData>
  <x:mergeCells>
    <x:mergeCell ref="A1:I1"/>
    <x:mergeCell ref="A2:I2"/>
    <x:mergeCell ref="A23:I23"/>
    <x:mergeCell ref="A24:I24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173853"/>
  </x:sheetPr>
  <x:sheetViews>
    <x:sheetView showGridLines="0" workbookViewId="0">
      <x:pane ySplit="18" topLeftCell="A19" activePane="bottomLeft" state="frozen"/>
    </x:sheetView>
  </x:sheetViews>
  <x:sheetFormatPr defaultRowHeight="15"/>
  <x:cols>
    <x:col min="1" max="1" width="3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22" customHeight="1">
      <x:c r="A1" s="300"/>
      <x:c r="B1" s="300"/>
      <x:c r="C1" s="300"/>
      <x:c r="D1" s="300"/>
      <x:c r="E1" s="300"/>
      <x:c r="F1" s="300"/>
      <x:c r="G1" s="300"/>
      <x:c r="H1" s="300"/>
      <x:c r="I1" s="300"/>
      <x:c r="J1" s="300"/>
      <x:c r="K1" s="300"/>
      <x:c r="L1" s="300"/>
      <x:c r="M1" s="300"/>
      <x:c r="N1" s="300"/>
    </x:row>
    <x:row r="2" ht="22" customHeight="1">
      <x:c r="A2" s="317" t="str">
        <x:v>Quarterly naphtha reconciliation | Q1 2024 – Q2 2026</x:v>
      </x:c>
      <x:c r="B2" s="300"/>
      <x:c r="C2" s="300"/>
      <x:c r="D2" s="300"/>
      <x:c r="E2" s="300"/>
      <x:c r="F2" s="300"/>
      <x:c r="G2" s="300"/>
      <x:c r="H2" s="300"/>
      <x:c r="I2" s="300"/>
      <x:c r="J2" s="300"/>
      <x:c r="K2" s="300"/>
      <x:c r="L2" s="300"/>
      <x:c r="M2" s="300"/>
      <x:c r="N2" s="300"/>
    </x:row>
    <x:row r="3" ht="28" customHeight="1">
      <x:c r="A3" s="300" t="str">
        <x:v>Estimated consumption exceeds Petrobras sales in all 10 quarters; quarterly import changes are poorly reproduced.</x:v>
      </x:c>
      <x:c r="B3" s="300"/>
      <x:c r="C3" s="300"/>
      <x:c r="D3" s="300"/>
      <x:c r="E3" s="300"/>
      <x:c r="F3" s="300"/>
      <x:c r="G3" s="300"/>
      <x:c r="H3" s="300"/>
      <x:c r="I3" s="300"/>
      <x:c r="J3" s="300"/>
      <x:c r="K3" s="300"/>
      <x:c r="L3" s="300"/>
      <x:c r="M3" s="300"/>
      <x:c r="N3" s="300"/>
    </x:row>
    <x:row r="4" ht="22" customHeight="1">
      <x:c r="A4" s="300"/>
      <x:c r="B4" s="300"/>
      <x:c r="C4" s="300"/>
      <x:c r="D4" s="300"/>
      <x:c r="E4" s="300"/>
      <x:c r="F4" s="300"/>
      <x:c r="G4" s="300"/>
      <x:c r="H4" s="300"/>
      <x:c r="I4" s="300"/>
      <x:c r="J4" s="300"/>
      <x:c r="K4" s="300"/>
      <x:c r="L4" s="300"/>
      <x:c r="M4" s="300"/>
      <x:c r="N4" s="300"/>
    </x:row>
    <x:row r="5" ht="22" customHeight="1">
      <x:c r="A5" s="300" t="str">
        <x:v>Ethylene yield (t/t)</x:v>
      </x:c>
      <x:c r="B5" s="318" t="n">
        <x:v>0.33</x:v>
      </x:c>
      <x:c r="C5" s="300"/>
      <x:c r="D5" s="300" t="str">
        <x:v>10-quarter test against national ANP imports</x:v>
      </x:c>
      <x:c r="E5" s="300"/>
      <x:c r="F5" s="300"/>
      <x:c r="G5" s="300"/>
      <x:c r="H5" s="300"/>
      <x:c r="I5" s="300"/>
      <x:c r="J5" s="300"/>
      <x:c r="K5" s="300"/>
      <x:c r="L5" s="300"/>
      <x:c r="M5" s="300"/>
      <x:c r="N5" s="300"/>
    </x:row>
    <x:row r="6" ht="22" customHeight="1">
      <x:c r="A6" s="300" t="str">
        <x:v>Naphtha density (t/m³)</x:v>
      </x:c>
      <x:c r="B6" s="318" t="n">
        <x:v>0.73</x:v>
      </x:c>
      <x:c r="C6" s="300"/>
      <x:c r="D6" s="300" t="str">
        <x:v>Level correlation</x:v>
      </x:c>
      <x:c r="E6" s="300"/>
      <x:c r="F6" s="300"/>
      <x:c r="G6" s="300"/>
      <x:c r="H6" s="309" t="n">
        <x:f>CORREL(D19:D28,E19:E28)</x:f>
        <x:v>0.4850011889015196</x:v>
      </x:c>
      <x:c r="I6" s="300"/>
      <x:c r="J6" s="300"/>
      <x:c r="K6" s="300"/>
      <x:c r="L6" s="300"/>
      <x:c r="M6" s="300"/>
      <x:c r="N6" s="300"/>
    </x:row>
    <x:row r="7" ht="22" customHeight="1">
      <x:c r="A7" s="300" t="str">
        <x:v>m³ per barrel</x:v>
      </x:c>
      <x:c r="B7" s="318" t="n">
        <x:v>0.158987294928</x:v>
      </x:c>
      <x:c r="C7" s="300"/>
      <x:c r="D7" s="300" t="str">
        <x:v>Mean absolute error (kt)</x:v>
      </x:c>
      <x:c r="E7" s="300"/>
      <x:c r="F7" s="300"/>
      <x:c r="G7" s="300"/>
      <x:c r="H7" s="319" t="n">
        <x:f>AVERAGE(K19:K28)</x:f>
        <x:v>130.13832411272318</x:v>
      </x:c>
      <x:c r="I7" s="300"/>
      <x:c r="J7" s="300"/>
      <x:c r="K7" s="300"/>
      <x:c r="L7" s="300"/>
      <x:c r="M7" s="300"/>
      <x:c r="N7" s="300"/>
    </x:row>
    <x:row r="8" ht="22" customHeight="1">
      <x:c r="A8" s="300" t="str">
        <x:v>Brazil ethylene capacity kt/y</x:v>
      </x:c>
      <x:c r="B8" s="18" t="n">
        <x:v>3752</x:v>
      </x:c>
      <x:c r="C8" s="300"/>
      <x:c r="D8" s="300" t="str">
        <x:v>Mean absolute percentage error</x:v>
      </x:c>
      <x:c r="E8" s="300"/>
      <x:c r="F8" s="300"/>
      <x:c r="G8" s="300"/>
      <x:c r="H8" s="308" t="n">
        <x:f>AVERAGE(L19:L28)</x:f>
        <x:v>0.17121623026896718</x:v>
      </x:c>
      <x:c r="I8" s="300"/>
      <x:c r="J8" s="300"/>
      <x:c r="K8" s="300"/>
      <x:c r="L8" s="300"/>
      <x:c r="M8" s="300"/>
      <x:c r="N8" s="300"/>
    </x:row>
    <x:row r="9" ht="22" customHeight="1">
      <x:c r="A9" s="300" t="str">
        <x:v>Structural gas capacity kt/y</x:v>
      </x:c>
      <x:c r="B9" s="18" t="n">
        <x:v>650</x:v>
      </x:c>
      <x:c r="C9" s="300"/>
      <x:c r="D9" s="300" t="str">
        <x:v>Aggregate bias</x:v>
      </x:c>
      <x:c r="E9" s="300"/>
      <x:c r="F9" s="300"/>
      <x:c r="G9" s="300"/>
      <x:c r="H9" s="308" t="n">
        <x:f>SUM(D19:D28)/SUM(E19:E28)-1</x:f>
        <x:v>0.045837513107649164</x:v>
      </x:c>
      <x:c r="I9" s="300"/>
      <x:c r="J9" s="300"/>
      <x:c r="K9" s="300"/>
      <x:c r="L9" s="300"/>
      <x:c r="M9" s="300"/>
      <x:c r="N9" s="300"/>
    </x:row>
    <x:row r="10" ht="22" customHeight="1">
      <x:c r="A10" s="300" t="str">
        <x:v>Bahia cracker capacity kt/y</x:v>
      </x:c>
      <x:c r="B10" s="18" t="n">
        <x:v>1280</x:v>
      </x:c>
      <x:c r="C10" s="300"/>
      <x:c r="D10" s="300" t="str">
        <x:v>Direction matches (9 changes)</x:v>
      </x:c>
      <x:c r="E10" s="300"/>
      <x:c r="F10" s="300"/>
      <x:c r="G10" s="300"/>
      <x:c r="H10" s="320" t="n">
        <x:f>SUM(M20:M28)</x:f>
        <x:v>3</x:v>
      </x:c>
      <x:c r="I10" s="300"/>
      <x:c r="J10" s="300"/>
      <x:c r="K10" s="300"/>
      <x:c r="L10" s="300"/>
      <x:c r="M10" s="300"/>
      <x:c r="N10" s="300"/>
    </x:row>
    <x:row r="11" ht="22" customHeight="1">
      <x:c r="A11" s="300" t="str">
        <x:v>Bahia gas flex maximum</x:v>
      </x:c>
      <x:c r="B11" s="44" t="n">
        <x:v>0.15</x:v>
      </x:c>
      <x:c r="C11" s="300"/>
      <x:c r="D11" s="300" t="str">
        <x:v>Change correlation</x:v>
      </x:c>
      <x:c r="E11" s="300"/>
      <x:c r="F11" s="300"/>
      <x:c r="G11" s="300"/>
      <x:c r="H11" s="309" t="n">
        <x:f>CORREL(J20:J28,N20:N28)</x:f>
        <x:v>0.03175708570310248</x:v>
      </x:c>
      <x:c r="I11" s="300"/>
      <x:c r="J11" s="300"/>
      <x:c r="K11" s="300"/>
      <x:c r="L11" s="300"/>
      <x:c r="M11" s="300"/>
      <x:c r="N11" s="300"/>
    </x:row>
    <x:row r="12" ht="22" customHeight="1">
      <x:c r="A12" s="300" t="str">
        <x:v>Selected Bahia gas flex</x:v>
      </x:c>
      <x:c r="B12" s="44" t="n">
        <x:v>0</x:v>
      </x:c>
      <x:c r="C12" s="300"/>
      <x:c r="D12" s="300"/>
      <x:c r="E12" s="300"/>
      <x:c r="F12" s="300"/>
      <x:c r="G12" s="300"/>
      <x:c r="H12" s="300"/>
      <x:c r="I12" s="300"/>
      <x:c r="J12" s="300"/>
      <x:c r="K12" s="300"/>
      <x:c r="L12" s="300"/>
      <x:c r="M12" s="300"/>
      <x:c r="N12" s="300"/>
    </x:row>
    <x:row r="13" ht="36" customHeight="1">
      <x:c r="A13" s="300" t="str">
        <x:v>Estimated non-naphtha share</x:v>
      </x:c>
      <x:c r="B13" s="308" t="n">
        <x:f>(B9+B10*B12)/B8</x:f>
        <x:v>0.1732409381663113</x:v>
      </x:c>
      <x:c r="C13" s="300"/>
      <x:c r="D13" s="302" t="str">
        <x:v>No quarter-specific gas output disclosed: equal utilization across capacities is assumed.</x:v>
      </x:c>
      <x:c r="E13" s="302"/>
      <x:c r="F13" s="302"/>
      <x:c r="G13" s="302"/>
      <x:c r="H13" s="302"/>
      <x:c r="I13" s="300"/>
      <x:c r="J13" s="300"/>
      <x:c r="K13" s="300"/>
      <x:c r="L13" s="300"/>
      <x:c r="M13" s="300"/>
      <x:c r="N13" s="300"/>
    </x:row>
    <x:row r="14" ht="22" customHeight="1">
      <x:c r="A14" s="300"/>
      <x:c r="B14" s="300"/>
      <x:c r="C14" s="300"/>
      <x:c r="D14" s="300"/>
      <x:c r="E14" s="300"/>
      <x:c r="F14" s="300"/>
      <x:c r="G14" s="300"/>
      <x:c r="H14" s="300"/>
      <x:c r="I14" s="300"/>
      <x:c r="J14" s="300"/>
      <x:c r="K14" s="300"/>
      <x:c r="L14" s="300"/>
      <x:c r="M14" s="300"/>
      <x:c r="N14" s="300"/>
    </x:row>
    <x:row r="15" ht="22" customHeight="1">
      <x:c r="A15" s="300" t="str">
        <x:v>Import residual = estimated naphtha use − Petrobras domestic naphtha sales. All quantities below are kt (1,000 tonnes).</x:v>
      </x:c>
      <x:c r="B15" s="300"/>
      <x:c r="C15" s="300"/>
      <x:c r="D15" s="300"/>
      <x:c r="E15" s="300"/>
      <x:c r="F15" s="300"/>
      <x:c r="G15" s="300"/>
      <x:c r="H15" s="300"/>
      <x:c r="I15" s="300"/>
      <x:c r="J15" s="300"/>
      <x:c r="K15" s="300"/>
      <x:c r="L15" s="300"/>
      <x:c r="M15" s="300"/>
      <x:c r="N15" s="300"/>
    </x:row>
    <x:row r="16" ht="22" customHeight="1">
      <x:c r="A16" s="300" t="str">
        <x:v>Petrobras kt = reported thousand bbl/day × calendar days × m³/barrel × assumed t/m³.</x:v>
      </x:c>
      <x:c r="B16" s="300"/>
      <x:c r="C16" s="300"/>
      <x:c r="D16" s="300"/>
      <x:c r="E16" s="300"/>
      <x:c r="F16" s="300"/>
      <x:c r="G16" s="300"/>
      <x:c r="H16" s="300"/>
      <x:c r="I16" s="300"/>
      <x:c r="J16" s="300"/>
      <x:c r="K16" s="300"/>
      <x:c r="L16" s="300"/>
      <x:c r="M16" s="300"/>
      <x:c r="N16" s="300"/>
    </x:row>
    <x:row r="17" ht="22" customHeight="1">
      <x:c r="A17" s="300"/>
      <x:c r="B17" s="300"/>
      <x:c r="C17" s="300"/>
      <x:c r="D17" s="300"/>
      <x:c r="E17" s="300"/>
      <x:c r="F17" s="300"/>
      <x:c r="G17" s="300"/>
      <x:c r="H17" s="300"/>
      <x:c r="I17" s="300"/>
      <x:c r="J17" s="300"/>
      <x:c r="K17" s="300"/>
      <x:c r="L17" s="300"/>
      <x:c r="M17" s="300"/>
      <x:c r="N17" s="300"/>
    </x:row>
    <x:row r="18" ht="32" customHeight="1">
      <x:c r="A18" s="323" t="str">
        <x:v>Quarter</x:v>
      </x:c>
      <x:c r="B18" s="323" t="str">
        <x:v>Estimated use</x:v>
      </x:c>
      <x:c r="C18" s="323" t="str">
        <x:v>Petrobras sales</x:v>
      </x:c>
      <x:c r="D18" s="323" t="str">
        <x:v>Implied imports</x:v>
      </x:c>
      <x:c r="E18" s="323" t="str">
        <x:v>ANP national</x:v>
      </x:c>
      <x:c r="F18" s="323" t="str">
        <x:v>Braskem customs</x:v>
      </x:c>
      <x:c r="G18" s="323" t="str">
        <x:v>vs ANP %</x:v>
      </x:c>
      <x:c r="H18" s="323" t="str">
        <x:v>Max-flex imports</x:v>
      </x:c>
      <x:c r="I18" s="300"/>
      <x:c r="J18" s="332" t="str">
        <x:v>Δ implied kt</x:v>
      </x:c>
      <x:c r="K18" s="332" t="str">
        <x:v>Abs error kt</x:v>
      </x:c>
      <x:c r="L18" s="332" t="str">
        <x:v>Abs error %</x:v>
      </x:c>
      <x:c r="M18" s="332" t="str">
        <x:v>Direction</x:v>
      </x:c>
      <x:c r="N18" s="332" t="str">
        <x:v>Δ ANP kt</x:v>
      </x:c>
    </x:row>
    <x:row r="19" ht="22" customHeight="1">
      <x:c r="A19" s="324" t="str">
        <x:v>2024 Q1</x:v>
      </x:c>
      <x:c r="B19" s="326" t="n">
        <x:f>'Quarterly Inputs'!B3*(1-$B$13)/$B$5</x:f>
        <x:v>1724.759091158955</x:v>
      </x:c>
      <x:c r="C19" s="326" t="n">
        <x:f>'Quarterly Inputs'!C3*'Quarterly Inputs'!D3*$B$7*$B$6</x:f>
        <x:v>686.4991901343576</x:v>
      </x:c>
      <x:c r="D19" s="326" t="n">
        <x:f>B19-C19</x:f>
        <x:v>1038.2599010245974</x:v>
      </x:c>
      <x:c r="E19" s="326" t="n">
        <x:f>'Quarterly Inputs'!G3</x:f>
        <x:v>1004.407358795</x:v>
      </x:c>
      <x:c r="F19" s="326" t="n">
        <x:f>'Quarterly Inputs'!F3</x:f>
        <x:v>961.428401</x:v>
      </x:c>
      <x:c r="G19" s="330" t="n">
        <x:f>D19/E19-1</x:f>
        <x:v>0.03370399662365142</x:v>
      </x:c>
      <x:c r="H19" s="329" t="n">
        <x:f>'Quarterly Inputs'!B3*(1-($B$9+$B$10*$B$11)/$B$8)/$B$5-C19</x:f>
        <x:v>931.5049862913545</x:v>
      </x:c>
      <x:c r="I19" s="300"/>
      <x:c r="J19" s="300"/>
      <x:c r="K19" s="300" t="n">
        <x:f>ABS(D19-E19)</x:f>
        <x:v>33.85254222959736</x:v>
      </x:c>
      <x:c r="L19" s="300" t="n">
        <x:f>K19/E19</x:f>
        <x:v>0.03370399662365146</x:v>
      </x:c>
      <x:c r="M19" s="300"/>
      <x:c r="N19" s="300"/>
    </x:row>
    <x:row r="20" ht="22" customHeight="1">
      <x:c r="A20" s="300" t="str">
        <x:v>2024 Q2</x:v>
      </x:c>
      <x:c r="B20" s="327" t="n">
        <x:f>'Quarterly Inputs'!B4*(1-$B$13)/$B$5</x:f>
        <x:v>1658.9680355646053</x:v>
      </x:c>
      <x:c r="C20" s="327" t="n">
        <x:f>'Quarterly Inputs'!C4*'Quarterly Inputs'!D4*$B$7*$B$6</x:f>
        <x:v>739.3068201446929</x:v>
      </x:c>
      <x:c r="D20" s="327" t="n">
        <x:f>B20-C20</x:f>
        <x:v>919.6612154199124</x:v>
      </x:c>
      <x:c r="E20" s="327" t="n">
        <x:f>'Quarterly Inputs'!G4</x:f>
        <x:v>1016.709327044</x:v>
      </x:c>
      <x:c r="F20" s="327" t="n">
        <x:f>'Quarterly Inputs'!F4</x:f>
        <x:v>974.0181280000002</x:v>
      </x:c>
      <x:c r="G20" s="331" t="n">
        <x:f>D20/E20-1</x:f>
        <x:v>-0.09545315366216534</x:v>
      </x:c>
      <x:c r="H20" s="307" t="n">
        <x:f>'Quarterly Inputs'!B4*(1-($B$9+$B$10*$B$11)/$B$8)/$B$5-C20</x:f>
        <x:v>816.9784743404784</x:v>
      </x:c>
      <x:c r="I20" s="300"/>
      <x:c r="J20" s="300" t="n">
        <x:f>D20-D19</x:f>
        <x:v>-118.59868560468499</x:v>
      </x:c>
      <x:c r="K20" s="300" t="n">
        <x:f>ABS(D20-E20)</x:f>
        <x:v>97.0481116240876</x:v>
      </x:c>
      <x:c r="L20" s="300" t="n">
        <x:f>K20/E20</x:f>
        <x:v>0.0954531536621653</x:v>
      </x:c>
      <x:c r="M20" s="300" t="n">
        <x:f>IF(J20*N20&gt;0,1,0)</x:f>
        <x:v>0</x:v>
      </x:c>
      <x:c r="N20" s="300" t="n">
        <x:f>E20-E19</x:f>
        <x:v>12.30196824899997</x:v>
      </x:c>
    </x:row>
    <x:row r="21" ht="22" customHeight="1">
      <x:c r="A21" s="324" t="str">
        <x:v>2024 Q3</x:v>
      </x:c>
      <x:c r="B21" s="326" t="n">
        <x:f>'Quarterly Inputs'!B5*(1-$B$13)/$B$5</x:f>
        <x:v>1720.537372118017</x:v>
      </x:c>
      <x:c r="C21" s="326" t="n">
        <x:f>'Quarterly Inputs'!C5*'Quarterly Inputs'!D5*$B$7*$B$6</x:f>
        <x:v>747.4310709155136</x:v>
      </x:c>
      <x:c r="D21" s="326" t="n">
        <x:f>B21-C21</x:f>
        <x:v>973.1063012025033</x:v>
      </x:c>
      <x:c r="E21" s="326" t="n">
        <x:f>'Quarterly Inputs'!G5</x:f>
        <x:v>990.523587783</x:v>
      </x:c>
      <x:c r="F21" s="326" t="n">
        <x:f>'Quarterly Inputs'!F5</x:f>
        <x:v>947.7820800000001</x:v>
      </x:c>
      <x:c r="G21" s="330" t="n">
        <x:f>D21/E21-1</x:f>
        <x:v>-0.01758391904576473</x:v>
      </x:c>
      <x:c r="H21" s="329" t="n">
        <x:f>'Quarterly Inputs'!B5*(1-($B$9+$B$10*$B$11)/$B$8)/$B$5-C21</x:f>
        <x:v>866.6126920965526</x:v>
      </x:c>
      <x:c r="I21" s="300"/>
      <x:c r="J21" s="300" t="n">
        <x:f>D21-D20</x:f>
        <x:v>53.44508578259092</x:v>
      </x:c>
      <x:c r="K21" s="300" t="n">
        <x:f>ABS(D21-E21)</x:f>
        <x:v>17.417286580496693</x:v>
      </x:c>
      <x:c r="L21" s="300" t="n">
        <x:f>K21/E21</x:f>
        <x:v>0.017583919045764715</x:v>
      </x:c>
      <x:c r="M21" s="300" t="n">
        <x:f>IF(J21*N21&gt;0,1,0)</x:f>
        <x:v>0</x:v>
      </x:c>
      <x:c r="N21" s="300" t="n">
        <x:f>E21-E20</x:f>
        <x:v>-26.18573926099998</x:v>
      </x:c>
    </x:row>
    <x:row r="22" ht="22" customHeight="1">
      <x:c r="A22" s="300" t="str">
        <x:v>2024 Q4</x:v>
      </x:c>
      <x:c r="B22" s="327" t="n">
        <x:f>'Quarterly Inputs'!B6*(1-$B$13)/$B$5</x:f>
        <x:v>1642.765148737313</x:v>
      </x:c>
      <x:c r="C22" s="327" t="n">
        <x:f>'Quarterly Inputs'!C6*'Quarterly Inputs'!D6*$B$7*$B$6</x:f>
        <x:v>800.8190045523361</x:v>
      </x:c>
      <x:c r="D22" s="327" t="n">
        <x:f>B22-C22</x:f>
        <x:v>841.9461441849769</x:v>
      </x:c>
      <x:c r="E22" s="327" t="n">
        <x:f>'Quarterly Inputs'!G6</x:f>
        <x:v>710.6239634660001</x:v>
      </x:c>
      <x:c r="F22" s="327" t="n">
        <x:f>'Quarterly Inputs'!F6</x:f>
        <x:v>681.0954810000001</x:v>
      </x:c>
      <x:c r="G22" s="331" t="n">
        <x:f>D22/E22-1</x:f>
        <x:v>0.18479841304318745</x:v>
      </x:c>
      <x:c r="H22" s="307" t="n">
        <x:f>'Quarterly Inputs'!B6*(1-($B$9+$B$10*$B$11)/$B$8)/$B$5-C22</x:f>
        <x:v>740.2662897176772</x:v>
      </x:c>
      <x:c r="I22" s="300"/>
      <x:c r="J22" s="300" t="n">
        <x:f>D22-D21</x:f>
        <x:v>-131.16015701752644</x:v>
      </x:c>
      <x:c r="K22" s="300" t="n">
        <x:f>ABS(D22-E22)</x:f>
        <x:v>131.32218071897682</x:v>
      </x:c>
      <x:c r="L22" s="300" t="n">
        <x:f>K22/E22</x:f>
        <x:v>0.18479841304318745</x:v>
      </x:c>
      <x:c r="M22" s="300" t="n">
        <x:f>IF(J22*N22&gt;0,1,0)</x:f>
        <x:v>1</x:v>
      </x:c>
      <x:c r="N22" s="300" t="n">
        <x:f>E22-E21</x:f>
        <x:v>-279.89962431699996</x:v>
      </x:c>
    </x:row>
    <x:row r="23" ht="22" customHeight="1">
      <x:c r="A23" s="324" t="str">
        <x:v>2025 Q1</x:v>
      </x:c>
      <x:c r="B23" s="326" t="n">
        <x:f>'Quarterly Inputs'!B7*(1-$B$13)/$B$5</x:f>
        <x:v>1719.8912914933899</x:v>
      </x:c>
      <x:c r="C23" s="326" t="n">
        <x:f>'Quarterly Inputs'!C7*'Quarterly Inputs'!D7*$B$7*$B$6</x:f>
        <x:v>647.6188471597152</x:v>
      </x:c>
      <x:c r="D23" s="326" t="n">
        <x:f>B23-C23</x:f>
        <x:v>1072.2724443336747</x:v>
      </x:c>
      <x:c r="E23" s="326" t="n">
        <x:f>'Quarterly Inputs'!G7</x:f>
        <x:v>978.8050021</x:v>
      </x:c>
      <x:c r="F23" s="326" t="n">
        <x:f>'Quarterly Inputs'!F7</x:f>
        <x:v>938.5768310000001</x:v>
      </x:c>
      <x:c r="G23" s="330" t="n">
        <x:f>D23/E23-1</x:f>
        <x:v>0.09549138187191808</x:v>
      </x:c>
      <x:c r="H23" s="329" t="n">
        <x:f>'Quarterly Inputs'!B7*(1-($B$9+$B$10*$B$11)/$B$8)/$B$5-C23</x:f>
        <x:v>965.8188247441419</x:v>
      </x:c>
      <x:c r="I23" s="300"/>
      <x:c r="J23" s="300" t="n">
        <x:f>D23-D22</x:f>
        <x:v>230.32630014869778</x:v>
      </x:c>
      <x:c r="K23" s="300" t="n">
        <x:f>ABS(D23-E23)</x:f>
        <x:v>93.46744223367466</x:v>
      </x:c>
      <x:c r="L23" s="300" t="n">
        <x:f>K23/E23</x:f>
        <x:v>0.09549138187191807</x:v>
      </x:c>
      <x:c r="M23" s="300" t="n">
        <x:f>IF(J23*N23&gt;0,1,0)</x:f>
        <x:v>1</x:v>
      </x:c>
      <x:c r="N23" s="300" t="n">
        <x:f>E23-E22</x:f>
        <x:v>268.18103863399995</x:v>
      </x:c>
    </x:row>
    <x:row r="24" ht="22" customHeight="1">
      <x:c r="A24" s="300" t="str">
        <x:v>2025 Q2</x:v>
      </x:c>
      <x:c r="B24" s="327" t="n">
        <x:f>'Quarterly Inputs'!B8*(1-$B$13)/$B$5</x:f>
        <x:v>1736.7212896050105</x:v>
      </x:c>
      <x:c r="C24" s="327" t="n">
        <x:f>'Quarterly Inputs'!C8*'Quarterly Inputs'!D8*$B$7*$B$6</x:f>
        <x:v>749.8683461467599</x:v>
      </x:c>
      <x:c r="D24" s="327" t="n">
        <x:f>B24-C24</x:f>
        <x:v>986.8529434582506</x:v>
      </x:c>
      <x:c r="E24" s="327" t="n">
        <x:f>'Quarterly Inputs'!G8</x:f>
        <x:v>731.435137295</x:v>
      </x:c>
      <x:c r="F24" s="328" t="n">
        <x:f>'Quarterly Inputs'!F8</x:f>
        <x:v>524.258977</x:v>
      </x:c>
      <x:c r="G24" s="331" t="n">
        <x:f>D24/E24-1</x:f>
        <x:v>0.34920089716750424</x:v>
      </x:c>
      <x:c r="H24" s="307" t="n">
        <x:f>'Quarterly Inputs'!B8*(1-($B$9+$B$10*$B$11)/$B$8)/$B$5-C24</x:f>
        <x:v>879.3576218579403</x:v>
      </x:c>
      <x:c r="I24" s="300"/>
      <x:c r="J24" s="300" t="n">
        <x:f>D24-D23</x:f>
        <x:v>-85.41950087542409</x:v>
      </x:c>
      <x:c r="K24" s="300" t="n">
        <x:f>ABS(D24-E24)</x:f>
        <x:v>255.4178061632506</x:v>
      </x:c>
      <x:c r="L24" s="300" t="n">
        <x:f>K24/E24</x:f>
        <x:v>0.3492008971675042</x:v>
      </x:c>
      <x:c r="M24" s="300" t="n">
        <x:f>IF(J24*N24&gt;0,1,0)</x:f>
        <x:v>1</x:v>
      </x:c>
      <x:c r="N24" s="300" t="n">
        <x:f>E24-E23</x:f>
        <x:v>-247.36986480500002</x:v>
      </x:c>
    </x:row>
    <x:row r="25" ht="22" customHeight="1">
      <x:c r="A25" s="324" t="str">
        <x:v>2025 Q3</x:v>
      </x:c>
      <x:c r="B25" s="326" t="n">
        <x:f>'Quarterly Inputs'!B9*(1-$B$13)/$B$5</x:f>
        <x:v>1549.8857262723345</x:v>
      </x:c>
      <x:c r="C25" s="326" t="n">
        <x:f>'Quarterly Inputs'!C9*'Quarterly Inputs'!D9*$B$7*$B$6</x:f>
        <x:v>800.8190045523361</x:v>
      </x:c>
      <x:c r="D25" s="326" t="n">
        <x:f>B25-C25</x:f>
        <x:v>749.0667217199984</x:v>
      </x:c>
      <x:c r="E25" s="326" t="n">
        <x:f>'Quarterly Inputs'!G9</x:f>
        <x:v>814.6424488</x:v>
      </x:c>
      <x:c r="F25" s="328" t="n">
        <x:f>'Quarterly Inputs'!F9</x:f>
        <x:v>151.241376</x:v>
      </x:c>
      <x:c r="G25" s="330" t="n">
        <x:f>D25/E25-1</x:f>
        <x:v>-0.08049632961871456</x:v>
      </x:c>
      <x:c r="H25" s="329" t="n">
        <x:f>'Quarterly Inputs'!B9*(1-($B$9+$B$10*$B$11)/$B$8)/$B$5-C25</x:f>
        <x:v>653.1356903066237</x:v>
      </x:c>
      <x:c r="I25" s="300"/>
      <x:c r="J25" s="300" t="n">
        <x:f>D25-D24</x:f>
        <x:v>-237.78622173825215</x:v>
      </x:c>
      <x:c r="K25" s="300" t="n">
        <x:f>ABS(D25-E25)</x:f>
        <x:v>65.57572708000157</x:v>
      </x:c>
      <x:c r="L25" s="300" t="n">
        <x:f>K25/E25</x:f>
        <x:v>0.08049632961871453</x:v>
      </x:c>
      <x:c r="M25" s="300" t="n">
        <x:f>IF(J25*N25&gt;0,1,0)</x:f>
        <x:v>0</x:v>
      </x:c>
      <x:c r="N25" s="300" t="n">
        <x:f>E25-E24</x:f>
        <x:v>83.207311505</x:v>
      </x:c>
    </x:row>
    <x:row r="26" ht="22" customHeight="1">
      <x:c r="A26" s="300" t="str">
        <x:v>2025 Q4</x:v>
      </x:c>
      <x:c r="B26" s="327" t="n">
        <x:f>'Quarterly Inputs'!B10*(1-$B$13)/$B$5</x:f>
        <x:v>1405.0937857638057</x:v>
      </x:c>
      <x:c r="C26" s="327" t="n">
        <x:f>'Quarterly Inputs'!C10*'Quarterly Inputs'!D10*$B$7*$B$6</x:f>
        <x:v>576.589683277682</x:v>
      </x:c>
      <x:c r="D26" s="327" t="n">
        <x:f>B26-C26</x:f>
        <x:v>828.5041024861238</x:v>
      </x:c>
      <x:c r="E26" s="327" t="n">
        <x:f>'Quarterly Inputs'!G10</x:f>
        <x:v>698.264626561</x:v>
      </x:c>
      <x:c r="F26" s="328" t="str">
        <x:f>"n.a."</x:f>
        <x:v>n.a.</x:v>
      </x:c>
      <x:c r="G26" s="331" t="n">
        <x:f>D26/E26-1</x:f>
        <x:v>0.18651879383688952</x:v>
      </x:c>
      <x:c r="H26" s="307" t="n">
        <x:f>'Quarterly Inputs'!B10*(1-($B$9+$B$10*$B$11)/$B$8)/$B$5-C26</x:f>
        <x:v>741.5350480481321</x:v>
      </x:c>
      <x:c r="I26" s="300"/>
      <x:c r="J26" s="300" t="n">
        <x:f>D26-D25</x:f>
        <x:v>79.43738076612533</x:v>
      </x:c>
      <x:c r="K26" s="300" t="n">
        <x:f>ABS(D26-E26)</x:f>
        <x:v>130.23947592512377</x:v>
      </x:c>
      <x:c r="L26" s="300" t="n">
        <x:f>K26/E26</x:f>
        <x:v>0.18651879383688946</x:v>
      </x:c>
      <x:c r="M26" s="300" t="n">
        <x:f>IF(J26*N26&gt;0,1,0)</x:f>
        <x:v>0</x:v>
      </x:c>
      <x:c r="N26" s="300" t="n">
        <x:f>E26-E25</x:f>
        <x:v>-116.37782223900001</x:v>
      </x:c>
    </x:row>
    <x:row r="27" ht="22" customHeight="1">
      <x:c r="A27" s="324" t="str">
        <x:v>2026 Q1</x:v>
      </x:c>
      <x:c r="B27" s="326" t="n">
        <x:f>'Quarterly Inputs'!B11*(1-$B$13)/$B$5</x:f>
        <x:v>1592.5657778176437</x:v>
      </x:c>
      <x:c r="C27" s="326" t="n">
        <x:f>'Quarterly Inputs'!C11*'Quarterly Inputs'!D11*$B$7*$B$6</x:f>
        <x:v>919.2009443557249</x:v>
      </x:c>
      <x:c r="D27" s="326" t="n">
        <x:f>B27-C27</x:f>
        <x:v>673.3648334619188</x:v>
      </x:c>
      <x:c r="E27" s="326" t="n">
        <x:f>'Quarterly Inputs'!G11</x:f>
        <x:v>950.9149422779999</x:v>
      </x:c>
      <x:c r="F27" s="326" t="n">
        <x:f>'Quarterly Inputs'!F11</x:f>
        <x:v>911.8362460000001</x:v>
      </x:c>
      <x:c r="G27" s="330" t="n">
        <x:f>D27/E27-1</x:f>
        <x:v>-0.291876903470657</x:v>
      </x:c>
      <x:c r="H27" s="329" t="n">
        <x:f>'Quarterly Inputs'!B11*(1-($B$9+$B$10*$B$11)/$B$8)/$B$5-C27</x:f>
        <x:v>574.7920967304592</x:v>
      </x:c>
      <x:c r="I27" s="300"/>
      <x:c r="J27" s="300" t="n">
        <x:f>D27-D26</x:f>
        <x:v>-155.13926902420496</x:v>
      </x:c>
      <x:c r="K27" s="300" t="n">
        <x:f>ABS(D27-E27)</x:f>
        <x:v>277.5501088160811</x:v>
      </x:c>
      <x:c r="L27" s="300" t="n">
        <x:f>K27/E27</x:f>
        <x:v>0.2918769034706569</x:v>
      </x:c>
      <x:c r="M27" s="300" t="n">
        <x:f>IF(J27*N27&gt;0,1,0)</x:f>
        <x:v>0</x:v>
      </x:c>
      <x:c r="N27" s="300" t="n">
        <x:f>E27-E26</x:f>
        <x:v>252.6503157169999</x:v>
      </x:c>
    </x:row>
    <x:row r="28" ht="22" customHeight="1">
      <x:c r="A28" s="300" t="str">
        <x:v>2026 Q2</x:v>
      </x:c>
      <x:c r="B28" s="327" t="n">
        <x:f>'Quarterly Inputs'!B12*(1-$B$13)/$B$5</x:f>
        <x:v>1636.8877260727074</x:v>
      </x:c>
      <x:c r="C28" s="327" t="n">
        <x:f>'Quarterly Inputs'!C12*'Quarterly Inputs'!D12*$B$7*$B$6</x:f>
        <x:v>908.2912361777654</x:v>
      </x:c>
      <x:c r="D28" s="327" t="n">
        <x:f>B28-C28</x:f>
        <x:v>728.596489894942</x:v>
      </x:c>
      <x:c r="E28" s="327" t="n">
        <x:f>'Quarterly Inputs'!G12</x:f>
        <x:v>529.1039301390001</x:v>
      </x:c>
      <x:c r="F28" s="327" t="n">
        <x:f>'Quarterly Inputs'!F12</x:f>
        <x:v>507.359933</x:v>
      </x:c>
      <x:c r="G28" s="331" t="n">
        <x:f>D28/E28-1</x:f>
        <x:v>0.37703851434921964</x:v>
      </x:c>
      <x:c r="H28" s="307" t="n">
        <x:f>'Quarterly Inputs'!B12*(1-($B$9+$B$10*$B$11)/$B$8)/$B$5-C28</x:f>
        <x:v>627.2804217434401</x:v>
      </x:c>
      <x:c r="I28" s="300"/>
      <x:c r="J28" s="300" t="n">
        <x:f>D28-D27</x:f>
        <x:v>55.231656433023204</x:v>
      </x:c>
      <x:c r="K28" s="300" t="n">
        <x:f>ABS(D28-E28)</x:f>
        <x:v>199.4925597559419</x:v>
      </x:c>
      <x:c r="L28" s="300" t="n">
        <x:f>K28/E28</x:f>
        <x:v>0.37703851434921964</x:v>
      </x:c>
      <x:c r="M28" s="300" t="n">
        <x:f>IF(J28*N28&gt;0,1,0)</x:f>
        <x:v>0</x:v>
      </x:c>
      <x:c r="N28" s="300" t="n">
        <x:f>E28-E27</x:f>
        <x:v>-421.8110121389998</x:v>
      </x:c>
    </x:row>
    <x:row r="29" ht="22" customHeight="1">
      <x:c r="A29" s="300"/>
      <x:c r="B29" s="300"/>
      <x:c r="C29" s="300"/>
      <x:c r="D29" s="300"/>
      <x:c r="E29" s="300"/>
      <x:c r="F29" s="300"/>
      <x:c r="G29" s="300"/>
      <x:c r="H29" s="300"/>
      <x:c r="I29" s="300"/>
      <x:c r="J29" s="300"/>
      <x:c r="K29" s="300"/>
      <x:c r="L29" s="300"/>
      <x:c r="M29" s="300"/>
      <x:c r="N29" s="300"/>
    </x:row>
    <x:row r="30" ht="22" customHeight="1">
      <x:c r="A30" s="332" t="str">
        <x:f>"10-quarter totals"</x:f>
        <x:v>10-quarter totals</x:v>
      </x:c>
      <x:c r="B30" s="333" t="n">
        <x:f>SUM(B19:B28)</x:f>
        <x:v>16388.07524460378</x:v>
      </x:c>
      <x:c r="C30" s="333" t="n">
        <x:f>SUM(C19:C28)</x:f>
        <x:v>7576.444147416883</x:v>
      </x:c>
      <x:c r="D30" s="333" t="n">
        <x:f>SUM(D19:D28)</x:f>
        <x:v>8811.631097186899</x:v>
      </x:c>
      <x:c r="E30" s="333" t="n">
        <x:f>SUM(E19:E28)</x:f>
        <x:v>8425.430324261</x:v>
      </x:c>
      <x:c r="F30" s="333"/>
      <x:c r="G30" s="334" t="n">
        <x:f>D30/E30-1</x:f>
        <x:v>0.045837513107649164</x:v>
      </x:c>
      <x:c r="H30" s="333" t="n">
        <x:f>SUM(H19:H28)</x:f>
        <x:v>7797.282145876799</x:v>
      </x:c>
      <x:c r="I30" s="300"/>
      <x:c r="J30" s="300"/>
      <x:c r="K30" s="300"/>
      <x:c r="L30" s="300"/>
      <x:c r="M30" s="300"/>
      <x:c r="N30" s="300"/>
    </x:row>
    <x:row r="31" ht="22" customHeight="1">
      <x:c r="A31" s="300"/>
      <x:c r="B31" s="300"/>
      <x:c r="C31" s="300"/>
      <x:c r="D31" s="300"/>
      <x:c r="E31" s="300"/>
      <x:c r="F31" s="300"/>
      <x:c r="G31" s="300"/>
      <x:c r="H31" s="300"/>
      <x:c r="I31" s="300"/>
      <x:c r="J31" s="300"/>
      <x:c r="K31" s="300"/>
      <x:c r="L31" s="300"/>
      <x:c r="M31" s="300"/>
      <x:c r="N31" s="300"/>
    </x:row>
    <x:row r="32" ht="22" customHeight="1">
      <x:c r="A32" s="300"/>
      <x:c r="B32" s="300"/>
      <x:c r="C32" s="300"/>
      <x:c r="D32" s="300"/>
      <x:c r="E32" s="300"/>
      <x:c r="F32" s="300"/>
      <x:c r="G32" s="300"/>
      <x:c r="H32" s="300"/>
      <x:c r="I32" s="300"/>
      <x:c r="J32" s="300"/>
      <x:c r="K32" s="300"/>
      <x:c r="L32" s="300"/>
      <x:c r="M32" s="300"/>
      <x:c r="N32" s="300"/>
    </x:row>
    <x:row r="33" ht="32" customHeight="1">
      <x:c r="A33" s="302" t="str">
        <x:v>Base allocation: 650/3,752 = 17.3% structural gas ethylene; no incremental Bahia gas flex. Gas units are assumed to share Brazil utilization.</x:v>
      </x:c>
      <x:c r="B33" s="302"/>
      <x:c r="C33" s="302"/>
      <x:c r="D33" s="302"/>
      <x:c r="E33" s="302"/>
      <x:c r="F33" s="302"/>
      <x:c r="G33" s="302"/>
      <x:c r="H33" s="302"/>
      <x:c r="I33" s="300"/>
      <x:c r="J33" s="300"/>
      <x:c r="K33" s="300"/>
      <x:c r="L33" s="300"/>
      <x:c r="M33" s="300"/>
      <x:c r="N33" s="300"/>
    </x:row>
    <x:row r="34" ht="32" customHeight="1">
      <x:c r="A34" s="302" t="str">
        <x:v>Max-flex case: add 15% × 1,280kt/y Bahia capacity to the gas allocation (22.4% total). These are sensitivities, not observed gas output.</x:v>
      </x:c>
      <x:c r="B34" s="302"/>
      <x:c r="C34" s="302"/>
      <x:c r="D34" s="302"/>
      <x:c r="E34" s="302"/>
      <x:c r="F34" s="302"/>
      <x:c r="G34" s="302"/>
      <x:c r="H34" s="302"/>
      <x:c r="I34" s="300"/>
      <x:c r="J34" s="300"/>
      <x:c r="K34" s="300"/>
      <x:c r="L34" s="300"/>
      <x:c r="M34" s="300"/>
      <x:c r="N34" s="300"/>
    </x:row>
    <x:row r="35" ht="32" customHeight="1">
      <x:c r="A35" s="302" t="str">
        <x:v>Green ethylene is separate from the fossil Brazil ethylene series. Mexico ethane ethylene is also excluded.</x:v>
      </x:c>
      <x:c r="B35" s="302"/>
      <x:c r="C35" s="302"/>
      <x:c r="D35" s="302"/>
      <x:c r="E35" s="302"/>
      <x:c r="F35" s="302"/>
      <x:c r="G35" s="302"/>
      <x:c r="H35" s="302"/>
      <x:c r="I35" s="300"/>
      <x:c r="J35" s="300"/>
      <x:c r="K35" s="300"/>
      <x:c r="L35" s="300"/>
      <x:c r="M35" s="300"/>
      <x:c r="N35" s="300"/>
    </x:row>
    <x:row r="36" ht="32" customHeight="1">
      <x:c r="A36" s="302" t="str">
        <x:v>Braskem customs: actual kg for importer BRASKEM S.A, NCM 27101241. 2025 Q2–Q3 exhibit coverage anomalies; Q4 has no naphtha rows.</x:v>
      </x:c>
      <x:c r="B36" s="302"/>
      <x:c r="C36" s="302"/>
      <x:c r="D36" s="302"/>
      <x:c r="E36" s="302"/>
      <x:c r="F36" s="302"/>
      <x:c r="G36" s="302"/>
      <x:c r="H36" s="302"/>
      <x:c r="I36" s="300"/>
      <x:c r="J36" s="300"/>
      <x:c r="K36" s="300"/>
      <x:c r="L36" s="300"/>
      <x:c r="M36" s="300"/>
      <x:c r="N36" s="300"/>
    </x:row>
    <x:row r="37" ht="32" customHeight="1">
      <x:c r="A37" s="302" t="str">
        <x:v>Q4 2025 customs is unavailable, not zero. ANP national imports remain positive. Do not use the 2025 importer file to infer a cessation of imports.</x:v>
      </x:c>
      <x:c r="B37" s="302"/>
      <x:c r="C37" s="302"/>
      <x:c r="D37" s="302"/>
      <x:c r="E37" s="302"/>
      <x:c r="F37" s="302"/>
      <x:c r="G37" s="302"/>
      <x:c r="H37" s="302"/>
      <x:c r="I37" s="300"/>
      <x:c r="J37" s="300"/>
      <x:c r="K37" s="300"/>
      <x:c r="L37" s="300"/>
      <x:c r="M37" s="300"/>
      <x:c r="N37" s="300"/>
    </x:row>
    <x:row r="38" ht="32" customHeight="1">
      <x:c r="A38" s="302" t="str">
        <x:v>The residual also includes inventory changes, other Brazilian suppliers/customers, non-naphtha feedstocks and yield variation.</x:v>
      </x:c>
      <x:c r="B38" s="302"/>
      <x:c r="C38" s="302"/>
      <x:c r="D38" s="302"/>
      <x:c r="E38" s="302"/>
      <x:c r="F38" s="302"/>
      <x:c r="G38" s="302"/>
      <x:c r="H38" s="302"/>
      <x:c r="I38" s="300"/>
      <x:c r="J38" s="300"/>
      <x:c r="K38" s="300"/>
      <x:c r="L38" s="300"/>
      <x:c r="M38" s="300"/>
      <x:c r="N38" s="300"/>
    </x:row>
    <x:row r="39" ht="32" customHeight="1">
      <x:c r="A39" s="302" t="str">
        <x:v>Quarterly usefulness is limited: level correlation 0.49; change correlation 0.03; only 3/9 directions match. No fitted correction was applied.</x:v>
      </x:c>
      <x:c r="B39" s="302"/>
      <x:c r="C39" s="302"/>
      <x:c r="D39" s="302"/>
      <x:c r="E39" s="302"/>
      <x:c r="F39" s="302"/>
      <x:c r="G39" s="302"/>
      <x:c r="H39" s="302"/>
      <x:c r="I39" s="300"/>
      <x:c r="J39" s="300"/>
      <x:c r="K39" s="300"/>
      <x:c r="L39" s="300"/>
      <x:c r="M39" s="300"/>
      <x:c r="N39" s="300"/>
    </x:row>
    <x:row r="40" ht="32" customHeight="1">
      <x:c r="A40" s="302" t="str">
        <x:v>2026 Q1→Q2: estimate rises 8.2%, while national imports fall 44.4% and Braskem customs fall 44.4%.</x:v>
      </x:c>
      <x:c r="B40" s="302"/>
      <x:c r="C40" s="302"/>
      <x:c r="D40" s="302"/>
      <x:c r="E40" s="302"/>
      <x:c r="F40" s="302"/>
      <x:c r="G40" s="302"/>
      <x:c r="H40" s="302"/>
      <x:c r="I40" s="300"/>
      <x:c r="J40" s="300"/>
      <x:c r="K40" s="300"/>
      <x:c r="L40" s="300"/>
      <x:c r="M40" s="300"/>
      <x:c r="N40" s="300"/>
    </x:row>
    <x:row r="41" ht="32" customHeight="1">
      <x:c r="A41" s="302" t="str">
        <x:v>Density 0.73 t/m³ and ethylene yield 0.33 are assumptions; Petrobras volumes are rounded to whole thousand bbl/day.</x:v>
      </x:c>
      <x:c r="B41" s="302"/>
      <x:c r="C41" s="302"/>
      <x:c r="D41" s="302"/>
      <x:c r="E41" s="302"/>
      <x:c r="F41" s="302"/>
      <x:c r="G41" s="302"/>
      <x:c r="H41" s="302"/>
      <x:c r="I41" s="300"/>
      <x:c r="J41" s="300"/>
      <x:c r="K41" s="300"/>
      <x:c r="L41" s="300"/>
      <x:c r="M41" s="300"/>
      <x:c r="N41" s="300"/>
    </x:row>
    <x:row r="42" ht="32" customHeight="1">
      <x:c r="A42" s="302" t="str">
        <x:v>All historical capacities use the latest valuation book, assumed applicable across this 10-quarter window. Source details and raw customs rows follow.</x:v>
      </x:c>
      <x:c r="B42" s="302"/>
      <x:c r="C42" s="302"/>
      <x:c r="D42" s="302"/>
      <x:c r="E42" s="302"/>
      <x:c r="F42" s="302"/>
      <x:c r="G42" s="302"/>
      <x:c r="H42" s="302"/>
      <x:c r="I42" s="300"/>
      <x:c r="J42" s="300"/>
      <x:c r="K42" s="300"/>
      <x:c r="L42" s="300"/>
      <x:c r="M42" s="300"/>
      <x:c r="N42" s="300"/>
    </x:row>
    <x:row r="43" ht="22" customHeight="1">
      <x:c r="A43" s="300"/>
      <x:c r="B43" s="300"/>
      <x:c r="C43" s="300"/>
      <x:c r="D43" s="300"/>
      <x:c r="E43" s="300"/>
      <x:c r="F43" s="300"/>
      <x:c r="G43" s="300"/>
      <x:c r="H43" s="300"/>
      <x:c r="I43" s="300"/>
      <x:c r="J43" s="300"/>
      <x:c r="K43" s="300"/>
      <x:c r="L43" s="300"/>
      <x:c r="M43" s="300"/>
      <x:c r="N43" s="300"/>
    </x:row>
    <x:row r="44" ht="22" customHeight="1">
      <x:c r="A44" s="300"/>
      <x:c r="B44" s="300"/>
      <x:c r="C44" s="300"/>
      <x:c r="D44" s="300"/>
      <x:c r="E44" s="300"/>
      <x:c r="F44" s="300"/>
      <x:c r="G44" s="300"/>
      <x:c r="H44" s="300"/>
      <x:c r="I44" s="300"/>
      <x:c r="J44" s="300"/>
      <x:c r="K44" s="300"/>
      <x:c r="L44" s="300"/>
      <x:c r="M44" s="300"/>
      <x:c r="N44" s="300"/>
    </x:row>
    <x:row r="45" ht="22" customHeight="1">
      <x:c r="A45" s="300"/>
      <x:c r="B45" s="300"/>
      <x:c r="C45" s="300"/>
      <x:c r="D45" s="300"/>
      <x:c r="E45" s="300"/>
      <x:c r="F45" s="300"/>
      <x:c r="G45" s="300"/>
      <x:c r="H45" s="300"/>
      <x:c r="I45" s="300"/>
      <x:c r="J45" s="300"/>
      <x:c r="K45" s="300"/>
      <x:c r="L45" s="300"/>
      <x:c r="M45" s="300"/>
      <x:c r="N45" s="300"/>
    </x:row>
    <x:row r="46" ht="22" customHeight="1">
      <x:c r="A46" s="300" t="str">
        <x:v>Braskem valuation book; sheets Capacity / Production</x:v>
      </x:c>
      <x:c r="B46" s="300"/>
      <x:c r="C46" s="300"/>
      <x:c r="D46" s="300"/>
      <x:c r="E46" s="300"/>
      <x:c r="F46" s="300"/>
      <x:c r="G46" s="300"/>
      <x:c r="H46" s="300"/>
      <x:c r="I46" s="300"/>
      <x:c r="J46" s="300"/>
      <x:c r="K46" s="300"/>
      <x:c r="L46" s="300"/>
      <x:c r="M46" s="300"/>
      <x:c r="N46" s="300"/>
    </x:row>
    <x:row r="47" ht="22" customHeight="1">
      <x:c r="A47" s="300" t="str">
        <x:v>Petrobras 2Q24 production and sales p6</x:v>
      </x:c>
      <x:c r="B47" s="300"/>
      <x:c r="C47" s="300"/>
      <x:c r="D47" s="300"/>
      <x:c r="E47" s="300"/>
      <x:c r="F47" s="300"/>
      <x:c r="G47" s="300"/>
      <x:c r="H47" s="300"/>
      <x:c r="I47" s="300"/>
      <x:c r="J47" s="300"/>
      <x:c r="K47" s="300"/>
      <x:c r="L47" s="300"/>
      <x:c r="M47" s="300"/>
      <x:c r="N47" s="300"/>
    </x:row>
    <x:row r="48" ht="22" customHeight="1">
      <x:c r="A48" s="300" t="str">
        <x:v>Petrobras 3Q25 (2Q25 / 3Q24 comparatives)</x:v>
      </x:c>
      <x:c r="B48" s="300"/>
      <x:c r="C48" s="300"/>
      <x:c r="D48" s="300"/>
      <x:c r="E48" s="300"/>
      <x:c r="F48" s="300"/>
      <x:c r="G48" s="300"/>
      <x:c r="H48" s="300"/>
      <x:c r="I48" s="300"/>
      <x:c r="J48" s="300"/>
      <x:c r="K48" s="300"/>
      <x:c r="L48" s="300"/>
      <x:c r="M48" s="300"/>
      <x:c r="N48" s="300"/>
    </x:row>
    <x:row r="49" ht="22" customHeight="1">
      <x:c r="A49" s="300" t="str">
        <x:v>Petrobras 4Q25 (3Q25 / 4Q24 comparatives)</x:v>
      </x:c>
      <x:c r="B49" s="300"/>
      <x:c r="C49" s="300"/>
      <x:c r="D49" s="300"/>
      <x:c r="E49" s="300"/>
      <x:c r="F49" s="300"/>
      <x:c r="G49" s="300"/>
      <x:c r="H49" s="300"/>
      <x:c r="I49" s="300"/>
      <x:c r="J49" s="300"/>
      <x:c r="K49" s="300"/>
      <x:c r="L49" s="300"/>
      <x:c r="M49" s="300"/>
      <x:c r="N49" s="300"/>
    </x:row>
    <x:row r="50" ht="22" customHeight="1">
      <x:c r="A50" s="300" t="str">
        <x:v>Petrobras 1Q26 (1Q25 comparative)</x:v>
      </x:c>
      <x:c r="B50" s="300"/>
      <x:c r="C50" s="300"/>
      <x:c r="D50" s="300"/>
      <x:c r="E50" s="300"/>
      <x:c r="F50" s="300"/>
      <x:c r="G50" s="300"/>
      <x:c r="H50" s="300"/>
      <x:c r="I50" s="300"/>
      <x:c r="J50" s="300"/>
      <x:c r="K50" s="300"/>
      <x:c r="L50" s="300"/>
      <x:c r="M50" s="300"/>
      <x:c r="N50" s="300"/>
    </x:row>
    <x:row r="51" ht="22" customHeight="1">
      <x:c r="A51" s="300" t="str">
        <x:v>Petrobras 2Q26 (1Q26 comparative)</x:v>
      </x:c>
      <x:c r="B51" s="300"/>
      <x:c r="C51" s="300"/>
      <x:c r="D51" s="300"/>
      <x:c r="E51" s="300"/>
      <x:c r="F51" s="300"/>
      <x:c r="G51" s="300"/>
      <x:c r="H51" s="300"/>
      <x:c r="I51" s="300"/>
      <x:c r="J51" s="300"/>
      <x:c r="K51" s="300"/>
      <x:c r="L51" s="300"/>
      <x:c r="M51" s="300"/>
      <x:c r="N51" s="300"/>
    </x:row>
    <x:row r="52" ht="22" customHeight="1">
      <x:c r="A52" s="300" t="str">
        <x:v>ANP national CSV</x:v>
      </x:c>
      <x:c r="B52" s="300"/>
      <x:c r="C52" s="300"/>
      <x:c r="D52" s="300"/>
      <x:c r="E52" s="300"/>
      <x:c r="F52" s="300"/>
      <x:c r="G52" s="300"/>
      <x:c r="H52" s="300"/>
      <x:c r="I52" s="300"/>
      <x:c r="J52" s="300"/>
      <x:c r="K52" s="300"/>
      <x:c r="L52" s="300"/>
      <x:c r="M52" s="300"/>
      <x:c r="N52" s="300"/>
    </x:row>
    <x:row r="53" ht="22" customHeight="1">
      <x:c r="A53" s="300" t="str">
        <x:v>ANP customs 2024</x:v>
      </x:c>
      <x:c r="B53" s="300"/>
      <x:c r="C53" s="300"/>
      <x:c r="D53" s="300"/>
      <x:c r="E53" s="300"/>
      <x:c r="F53" s="300"/>
      <x:c r="G53" s="300"/>
      <x:c r="H53" s="300"/>
      <x:c r="I53" s="300"/>
      <x:c r="J53" s="300"/>
      <x:c r="K53" s="300"/>
      <x:c r="L53" s="300"/>
      <x:c r="M53" s="300"/>
      <x:c r="N53" s="300"/>
    </x:row>
    <x:row r="54" ht="22" customHeight="1">
      <x:c r="A54" s="300" t="str">
        <x:v>ANP customs 2025</x:v>
      </x:c>
      <x:c r="B54" s="300"/>
      <x:c r="C54" s="300"/>
      <x:c r="D54" s="300"/>
      <x:c r="E54" s="300"/>
      <x:c r="F54" s="300"/>
      <x:c r="G54" s="300"/>
      <x:c r="H54" s="300"/>
      <x:c r="I54" s="300"/>
      <x:c r="J54" s="300"/>
      <x:c r="K54" s="300"/>
      <x:c r="L54" s="300"/>
      <x:c r="M54" s="300"/>
      <x:c r="N54" s="300"/>
    </x:row>
    <x:row r="55" ht="22" customHeight="1">
      <x:c r="A55" s="300" t="str">
        <x:v>ANP customs 2026</x:v>
      </x:c>
      <x:c r="B55" s="300"/>
      <x:c r="C55" s="300"/>
      <x:c r="D55" s="300"/>
      <x:c r="E55" s="300"/>
      <x:c r="F55" s="300"/>
      <x:c r="G55" s="300"/>
      <x:c r="H55" s="300"/>
      <x:c r="I55" s="300"/>
      <x:c r="J55" s="300"/>
      <x:c r="K55" s="300"/>
      <x:c r="L55" s="300"/>
      <x:c r="M55" s="300"/>
      <x:c r="N55" s="300"/>
    </x:row>
    <x:row r="56" ht="22" customHeight="1">
      <x:c r="A56" s="300"/>
      <x:c r="B56" s="300"/>
      <x:c r="C56" s="300"/>
      <x:c r="D56" s="300"/>
      <x:c r="E56" s="300"/>
      <x:c r="F56" s="300"/>
      <x:c r="G56" s="300"/>
      <x:c r="H56" s="300"/>
      <x:c r="I56" s="300"/>
      <x:c r="J56" s="300"/>
      <x:c r="K56" s="300"/>
      <x:c r="L56" s="300"/>
      <x:c r="M56" s="300"/>
      <x:c r="N56" s="300"/>
    </x:row>
    <x:row r="57" ht="22" customHeight="1">
      <x:c r="A57" s="300"/>
      <x:c r="B57" s="300"/>
      <x:c r="C57" s="300"/>
      <x:c r="D57" s="300"/>
      <x:c r="E57" s="300"/>
      <x:c r="F57" s="300"/>
      <x:c r="G57" s="300"/>
      <x:c r="H57" s="300"/>
      <x:c r="I57" s="300"/>
      <x:c r="J57" s="300"/>
      <x:c r="K57" s="300"/>
      <x:c r="L57" s="300"/>
      <x:c r="M57" s="300"/>
      <x:c r="N57" s="300"/>
    </x:row>
    <x:row r="58" ht="22" customHeight="1">
      <x:c r="A58" s="300"/>
      <x:c r="B58" s="300"/>
      <x:c r="C58" s="300"/>
      <x:c r="D58" s="300"/>
      <x:c r="E58" s="300"/>
      <x:c r="F58" s="300"/>
      <x:c r="G58" s="300"/>
      <x:c r="H58" s="300"/>
      <x:c r="I58" s="300"/>
      <x:c r="J58" s="300"/>
      <x:c r="K58" s="300"/>
      <x:c r="L58" s="300"/>
      <x:c r="M58" s="300"/>
      <x:c r="N58" s="300"/>
    </x:row>
    <x:row r="59" ht="22" customHeight="1">
      <x:c r="A59" s="300"/>
      <x:c r="B59" s="300"/>
      <x:c r="C59" s="300"/>
      <x:c r="D59" s="300"/>
      <x:c r="E59" s="300"/>
      <x:c r="F59" s="300"/>
      <x:c r="G59" s="300"/>
      <x:c r="H59" s="300"/>
      <x:c r="I59" s="300"/>
      <x:c r="J59" s="300"/>
      <x:c r="K59" s="300"/>
      <x:c r="L59" s="300"/>
      <x:c r="M59" s="300"/>
      <x:c r="N59" s="300"/>
    </x:row>
    <x:row r="60" ht="22" customHeight="1">
      <x:c r="A60" s="300" t="str">
        <x:v>https://api.mziq.com/mzfilemanager/v2/d/540b55c5-af99-45f7-a772-92665eb948e9/7528f06e-5f6d-ba09-da53-846f5b87cf46?origin=2</x:v>
      </x:c>
      <x:c r="B60" s="300"/>
      <x:c r="C60" s="300"/>
      <x:c r="D60" s="300"/>
      <x:c r="E60" s="300"/>
      <x:c r="F60" s="300"/>
      <x:c r="G60" s="300"/>
      <x:c r="H60" s="300"/>
      <x:c r="I60" s="300"/>
      <x:c r="J60" s="300"/>
      <x:c r="K60" s="300"/>
      <x:c r="L60" s="300"/>
      <x:c r="M60" s="300"/>
      <x:c r="N60" s="300"/>
    </x:row>
    <x:row r="61" ht="22" customHeight="1">
      <x:c r="A61" s="300" t="str">
        <x:v>https://api.mziq.com/mzfilemanager/v2/d/25fdf098-34f5-4608-b7fa-17d60b2de47d/2204d021-ad3b-91e8-9ab9-515649c60135?origin=1</x:v>
      </x:c>
      <x:c r="B61" s="300"/>
      <x:c r="C61" s="300"/>
      <x:c r="D61" s="300"/>
      <x:c r="E61" s="300"/>
      <x:c r="F61" s="300"/>
      <x:c r="G61" s="300"/>
      <x:c r="H61" s="300"/>
      <x:c r="I61" s="300"/>
      <x:c r="J61" s="300"/>
      <x:c r="K61" s="300"/>
      <x:c r="L61" s="300"/>
      <x:c r="M61" s="300"/>
      <x:c r="N61" s="300"/>
    </x:row>
    <x:row r="62" ht="22" customHeight="1">
      <x:c r="A62" s="300" t="str">
        <x:v>https://www.sec.gov/Archives/edgar/data/1119639/000129281425003631/pbr20251024_6k.htm</x:v>
      </x:c>
      <x:c r="B62" s="300"/>
      <x:c r="C62" s="300"/>
      <x:c r="D62" s="300"/>
      <x:c r="E62" s="300"/>
      <x:c r="F62" s="300"/>
      <x:c r="G62" s="300"/>
      <x:c r="H62" s="300"/>
      <x:c r="I62" s="300"/>
      <x:c r="J62" s="300"/>
      <x:c r="K62" s="300"/>
      <x:c r="L62" s="300"/>
      <x:c r="M62" s="300"/>
      <x:c r="N62" s="300"/>
    </x:row>
    <x:row r="63" ht="22" customHeight="1">
      <x:c r="A63" s="300" t="str">
        <x:v>https://www.sec.gov/Archives/edgar/data/1119639/000129281426000301/pbr20260210_6k.htm</x:v>
      </x:c>
      <x:c r="B63" s="300"/>
      <x:c r="C63" s="300"/>
      <x:c r="D63" s="300"/>
      <x:c r="E63" s="300"/>
      <x:c r="F63" s="300"/>
      <x:c r="G63" s="300"/>
      <x:c r="H63" s="300"/>
      <x:c r="I63" s="300"/>
      <x:c r="J63" s="300"/>
      <x:c r="K63" s="300"/>
      <x:c r="L63" s="300"/>
      <x:c r="M63" s="300"/>
      <x:c r="N63" s="300"/>
    </x:row>
    <x:row r="64" ht="22" customHeight="1">
      <x:c r="A64" s="300" t="str">
        <x:v>https://www.sec.gov/Archives/edgar/data/1119639/000129281426002724/pbr20260430_6k.htm</x:v>
      </x:c>
      <x:c r="B64" s="300"/>
      <x:c r="C64" s="300"/>
      <x:c r="D64" s="300"/>
      <x:c r="E64" s="300"/>
      <x:c r="F64" s="300"/>
      <x:c r="G64" s="300"/>
      <x:c r="H64" s="300"/>
      <x:c r="I64" s="300"/>
      <x:c r="J64" s="300"/>
      <x:c r="K64" s="300"/>
      <x:c r="L64" s="300"/>
      <x:c r="M64" s="300"/>
      <x:c r="N64" s="300"/>
    </x:row>
    <x:row r="65" ht="22" customHeight="1">
      <x:c r="A65" s="300" t="str">
        <x:v>https://www.sec.gov/Archives/edgar/data/1119639/000129281426003948/pbr20260728_6k.htm</x:v>
      </x:c>
      <x:c r="B65" s="300"/>
      <x:c r="C65" s="300"/>
      <x:c r="D65" s="300"/>
      <x:c r="E65" s="300"/>
      <x:c r="F65" s="300"/>
      <x:c r="G65" s="300"/>
      <x:c r="H65" s="300"/>
      <x:c r="I65" s="300"/>
      <x:c r="J65" s="300"/>
      <x:c r="K65" s="300"/>
      <x:c r="L65" s="300"/>
      <x:c r="M65" s="300"/>
      <x:c r="N65" s="300"/>
    </x:row>
    <x:row r="66" ht="22" customHeight="1">
      <x:c r="A66" s="300" t="str">
        <x:v>https://www.gov.br/anp/pt-br/centrais-de-conteudo/dados-abertos/arquivos/ie/derivados/importacoes-exportacoes-derivados-2000-2025.csv</x:v>
      </x:c>
      <x:c r="B66" s="300"/>
      <x:c r="C66" s="300"/>
      <x:c r="D66" s="300"/>
      <x:c r="E66" s="300"/>
      <x:c r="F66" s="300"/>
      <x:c r="G66" s="300"/>
      <x:c r="H66" s="300"/>
      <x:c r="I66" s="300"/>
      <x:c r="J66" s="300"/>
      <x:c r="K66" s="300"/>
      <x:c r="L66" s="300"/>
      <x:c r="M66" s="300"/>
      <x:c r="N66" s="300"/>
    </x:row>
    <x:row r="67" ht="22" customHeight="1">
      <x:c r="A67" s="300" t="str">
        <x:v>https://www.gov.br/anp/pt-br/assuntos/importacoes-e-exportacoes/arquivos-desembaracos/desembaraco-2024.xlsx</x:v>
      </x:c>
      <x:c r="B67" s="300"/>
      <x:c r="C67" s="300"/>
      <x:c r="D67" s="300"/>
      <x:c r="E67" s="300"/>
      <x:c r="F67" s="300"/>
      <x:c r="G67" s="300"/>
      <x:c r="H67" s="300"/>
      <x:c r="I67" s="300"/>
      <x:c r="J67" s="300"/>
      <x:c r="K67" s="300"/>
      <x:c r="L67" s="300"/>
      <x:c r="M67" s="300"/>
      <x:c r="N67" s="300"/>
    </x:row>
    <x:row r="68" ht="22" customHeight="1">
      <x:c r="A68" s="300" t="str">
        <x:v>https://www.gov.br/anp/pt-br/assuntos/importacoes-e-exportacoes/arquivos-desembaracos/desembaraco-2025.xlsx</x:v>
      </x:c>
      <x:c r="B68" s="300"/>
      <x:c r="C68" s="300"/>
      <x:c r="D68" s="300"/>
      <x:c r="E68" s="300"/>
      <x:c r="F68" s="300"/>
      <x:c r="G68" s="300"/>
      <x:c r="H68" s="300"/>
      <x:c r="I68" s="300"/>
      <x:c r="J68" s="300"/>
      <x:c r="K68" s="300"/>
      <x:c r="L68" s="300"/>
      <x:c r="M68" s="300"/>
      <x:c r="N68" s="300"/>
    </x:row>
    <x:row r="69" ht="22" customHeight="1">
      <x:c r="A69" s="300" t="str">
        <x:v>https://www.gov.br/anp/pt-br/assuntos/importacoes-e-exportacoes/arquivos-desembaracos/desembaraco-2026.xlsx</x:v>
      </x:c>
      <x:c r="B69" s="300"/>
      <x:c r="C69" s="300"/>
      <x:c r="D69" s="300"/>
      <x:c r="E69" s="300"/>
      <x:c r="F69" s="300"/>
      <x:c r="G69" s="300"/>
      <x:c r="H69" s="300"/>
      <x:c r="I69" s="300"/>
      <x:c r="J69" s="300"/>
      <x:c r="K69" s="300"/>
      <x:c r="L69" s="300"/>
      <x:c r="M69" s="300"/>
      <x:c r="N69" s="300"/>
    </x:row>
    <x:row r="70" ht="22" customHeight="1">
      <x:c r="A70" s="300"/>
      <x:c r="B70" s="300"/>
      <x:c r="C70" s="300"/>
      <x:c r="D70" s="300"/>
      <x:c r="E70" s="300"/>
      <x:c r="F70" s="300"/>
      <x:c r="G70" s="300"/>
      <x:c r="H70" s="300"/>
      <x:c r="I70" s="300"/>
      <x:c r="J70" s="300"/>
      <x:c r="K70" s="300"/>
      <x:c r="L70" s="300"/>
      <x:c r="M70" s="300"/>
      <x:c r="N70" s="300"/>
    </x:row>
    <x:row r="71" ht="22" customHeight="1">
      <x:c r="A71" s="300"/>
      <x:c r="B71" s="300"/>
      <x:c r="C71" s="300"/>
      <x:c r="D71" s="300"/>
      <x:c r="E71" s="300"/>
      <x:c r="F71" s="300"/>
      <x:c r="G71" s="300"/>
      <x:c r="H71" s="300"/>
      <x:c r="I71" s="300"/>
      <x:c r="J71" s="300"/>
      <x:c r="K71" s="300"/>
      <x:c r="L71" s="300"/>
      <x:c r="M71" s="300"/>
      <x:c r="N71" s="300"/>
    </x:row>
    <x:row r="72" ht="22" customHeight="1">
      <x:c r="A72" s="300"/>
      <x:c r="B72" s="300"/>
      <x:c r="C72" s="300"/>
      <x:c r="D72" s="300"/>
      <x:c r="E72" s="300"/>
      <x:c r="F72" s="300"/>
      <x:c r="G72" s="300"/>
      <x:c r="H72" s="300"/>
      <x:c r="I72" s="300"/>
      <x:c r="J72" s="300"/>
      <x:c r="K72" s="300"/>
      <x:c r="L72" s="300"/>
      <x:c r="M72" s="300"/>
      <x:c r="N72" s="300"/>
    </x:row>
    <x:row r="73" ht="22" customHeight="1">
      <x:c r="A73" s="300"/>
      <x:c r="B73" s="300"/>
      <x:c r="C73" s="300"/>
      <x:c r="D73" s="300"/>
      <x:c r="E73" s="300"/>
      <x:c r="F73" s="300"/>
      <x:c r="G73" s="300"/>
      <x:c r="H73" s="300"/>
      <x:c r="I73" s="300"/>
      <x:c r="J73" s="300"/>
      <x:c r="K73" s="300"/>
      <x:c r="L73" s="300"/>
      <x:c r="M73" s="300"/>
      <x:c r="N73" s="300"/>
    </x:row>
    <x:row r="74" ht="22" customHeight="1">
      <x:c r="A74" s="300"/>
      <x:c r="B74" s="300"/>
      <x:c r="C74" s="300"/>
      <x:c r="D74" s="300"/>
      <x:c r="E74" s="300"/>
      <x:c r="F74" s="300"/>
      <x:c r="G74" s="300"/>
      <x:c r="H74" s="300"/>
      <x:c r="I74" s="300"/>
      <x:c r="J74" s="300"/>
      <x:c r="K74" s="300"/>
      <x:c r="L74" s="300"/>
      <x:c r="M74" s="300"/>
      <x:c r="N74" s="300"/>
    </x:row>
    <x:row r="75" ht="22" customHeight="1">
      <x:c r="A75" s="300"/>
      <x:c r="B75" s="300"/>
      <x:c r="C75" s="300"/>
      <x:c r="D75" s="300"/>
      <x:c r="E75" s="300"/>
      <x:c r="F75" s="300"/>
      <x:c r="G75" s="300"/>
      <x:c r="H75" s="300"/>
      <x:c r="I75" s="300"/>
      <x:c r="J75" s="300"/>
      <x:c r="K75" s="300"/>
      <x:c r="L75" s="300"/>
      <x:c r="M75" s="300"/>
      <x:c r="N75" s="300"/>
    </x:row>
    <x:row r="76" ht="22" customHeight="1">
      <x:c r="A76" s="300"/>
      <x:c r="B76" s="300"/>
      <x:c r="C76" s="300"/>
      <x:c r="D76" s="300"/>
      <x:c r="E76" s="300"/>
      <x:c r="F76" s="300"/>
      <x:c r="G76" s="300"/>
      <x:c r="H76" s="300"/>
      <x:c r="I76" s="300"/>
      <x:c r="J76" s="300"/>
      <x:c r="K76" s="300"/>
      <x:c r="L76" s="300"/>
      <x:c r="M76" s="300"/>
      <x:c r="N76" s="300"/>
    </x:row>
    <x:row r="77" ht="22" customHeight="1">
      <x:c r="A77" s="300"/>
      <x:c r="B77" s="300"/>
      <x:c r="C77" s="300"/>
      <x:c r="D77" s="300"/>
      <x:c r="E77" s="300"/>
      <x:c r="F77" s="300"/>
      <x:c r="G77" s="300"/>
      <x:c r="H77" s="300"/>
      <x:c r="I77" s="300"/>
      <x:c r="J77" s="300"/>
      <x:c r="K77" s="300"/>
      <x:c r="L77" s="300"/>
      <x:c r="M77" s="300"/>
      <x:c r="N77" s="300"/>
    </x:row>
    <x:row r="78" ht="22" customHeight="1">
      <x:c r="A78" s="300"/>
      <x:c r="B78" s="300"/>
      <x:c r="C78" s="300"/>
      <x:c r="D78" s="300"/>
      <x:c r="E78" s="300"/>
      <x:c r="F78" s="300"/>
      <x:c r="G78" s="300"/>
      <x:c r="H78" s="300"/>
      <x:c r="I78" s="300"/>
      <x:c r="J78" s="300"/>
      <x:c r="K78" s="300"/>
      <x:c r="L78" s="300"/>
      <x:c r="M78" s="300"/>
      <x:c r="N78" s="300"/>
    </x:row>
    <x:row r="79" ht="22" customHeight="1">
      <x:c r="A79" s="300"/>
      <x:c r="B79" s="300"/>
      <x:c r="C79" s="300"/>
      <x:c r="D79" s="300"/>
      <x:c r="E79" s="300"/>
      <x:c r="F79" s="300"/>
      <x:c r="G79" s="300"/>
      <x:c r="H79" s="300"/>
      <x:c r="I79" s="300"/>
      <x:c r="J79" s="300"/>
      <x:c r="K79" s="300"/>
      <x:c r="L79" s="300"/>
      <x:c r="M79" s="300"/>
      <x:c r="N79" s="300"/>
    </x:row>
    <x:row r="80" ht="22" customHeight="1">
      <x:c r="A80" s="300"/>
      <x:c r="B80" s="300"/>
      <x:c r="C80" s="300"/>
      <x:c r="D80" s="300"/>
      <x:c r="E80" s="300"/>
      <x:c r="F80" s="300"/>
      <x:c r="G80" s="300"/>
      <x:c r="H80" s="300"/>
      <x:c r="I80" s="300"/>
      <x:c r="J80" s="300"/>
      <x:c r="K80" s="300"/>
      <x:c r="L80" s="300"/>
      <x:c r="M80" s="300"/>
      <x:c r="N80" s="300"/>
    </x:row>
    <x:row r="81" ht="22" customHeight="1">
      <x:c r="A81" s="300"/>
      <x:c r="B81" s="300"/>
      <x:c r="C81" s="300"/>
      <x:c r="D81" s="300"/>
      <x:c r="E81" s="300"/>
      <x:c r="F81" s="300"/>
      <x:c r="G81" s="300"/>
      <x:c r="H81" s="300"/>
      <x:c r="I81" s="300"/>
      <x:c r="J81" s="300"/>
      <x:c r="K81" s="300"/>
      <x:c r="L81" s="300"/>
      <x:c r="M81" s="300"/>
      <x:c r="N81" s="300"/>
    </x:row>
    <x:row r="82" ht="22" customHeight="1">
      <x:c r="A82" s="300"/>
      <x:c r="B82" s="300"/>
      <x:c r="C82" s="300"/>
      <x:c r="D82" s="300"/>
      <x:c r="E82" s="300"/>
      <x:c r="F82" s="300"/>
      <x:c r="G82" s="300"/>
      <x:c r="H82" s="300"/>
      <x:c r="I82" s="300"/>
      <x:c r="J82" s="300"/>
      <x:c r="K82" s="300"/>
      <x:c r="L82" s="300"/>
      <x:c r="M82" s="300"/>
      <x:c r="N82" s="300"/>
    </x:row>
    <x:row r="83" ht="22" customHeight="1">
      <x:c r="A83" s="300"/>
      <x:c r="B83" s="300"/>
      <x:c r="C83" s="300"/>
      <x:c r="D83" s="300"/>
      <x:c r="E83" s="300"/>
      <x:c r="F83" s="300"/>
      <x:c r="G83" s="300"/>
      <x:c r="H83" s="300"/>
      <x:c r="I83" s="300"/>
      <x:c r="J83" s="300"/>
      <x:c r="K83" s="300"/>
      <x:c r="L83" s="300"/>
      <x:c r="M83" s="300"/>
      <x:c r="N83" s="300"/>
    </x:row>
    <x:row r="84" ht="22" customHeight="1">
      <x:c r="A84" s="300"/>
      <x:c r="B84" s="300"/>
      <x:c r="C84" s="300"/>
      <x:c r="D84" s="300"/>
      <x:c r="E84" s="300"/>
      <x:c r="F84" s="300"/>
      <x:c r="G84" s="300"/>
      <x:c r="H84" s="300"/>
      <x:c r="I84" s="300"/>
      <x:c r="J84" s="300"/>
      <x:c r="K84" s="300"/>
      <x:c r="L84" s="300"/>
      <x:c r="M84" s="300"/>
      <x:c r="N84" s="300"/>
    </x:row>
    <x:row r="85" ht="22" customHeight="1">
      <x:c r="A85" s="300"/>
      <x:c r="B85" s="300"/>
      <x:c r="C85" s="300"/>
      <x:c r="D85" s="300"/>
      <x:c r="E85" s="300"/>
      <x:c r="F85" s="300"/>
      <x:c r="G85" s="300"/>
      <x:c r="H85" s="300"/>
      <x:c r="I85" s="300"/>
      <x:c r="J85" s="300"/>
      <x:c r="K85" s="300"/>
      <x:c r="L85" s="300"/>
      <x:c r="M85" s="300"/>
      <x:c r="N85" s="300"/>
    </x:row>
    <x:row r="86" ht="22" customHeight="1">
      <x:c r="A86" s="300"/>
      <x:c r="B86" s="300"/>
      <x:c r="C86" s="300"/>
      <x:c r="D86" s="300"/>
      <x:c r="E86" s="300"/>
      <x:c r="F86" s="300"/>
      <x:c r="G86" s="300"/>
      <x:c r="H86" s="300"/>
      <x:c r="I86" s="300"/>
      <x:c r="J86" s="300"/>
      <x:c r="K86" s="300"/>
      <x:c r="L86" s="300"/>
      <x:c r="M86" s="300"/>
      <x:c r="N86" s="300"/>
    </x:row>
    <x:row r="87" ht="22" customHeight="1">
      <x:c r="A87" s="300"/>
      <x:c r="B87" s="300"/>
      <x:c r="C87" s="300"/>
      <x:c r="D87" s="300"/>
      <x:c r="E87" s="300"/>
      <x:c r="F87" s="300"/>
      <x:c r="G87" s="300"/>
      <x:c r="H87" s="300"/>
      <x:c r="I87" s="300"/>
      <x:c r="J87" s="300"/>
      <x:c r="K87" s="300"/>
      <x:c r="L87" s="300"/>
      <x:c r="M87" s="300"/>
      <x:c r="N87" s="300"/>
    </x:row>
    <x:row r="88" ht="22" customHeight="1">
      <x:c r="A88" s="300"/>
      <x:c r="B88" s="300"/>
      <x:c r="C88" s="300"/>
      <x:c r="D88" s="300"/>
      <x:c r="E88" s="300"/>
      <x:c r="F88" s="300"/>
      <x:c r="G88" s="300"/>
      <x:c r="H88" s="300"/>
      <x:c r="I88" s="300"/>
      <x:c r="J88" s="300"/>
      <x:c r="K88" s="300"/>
      <x:c r="L88" s="300"/>
      <x:c r="M88" s="300"/>
      <x:c r="N88" s="300"/>
    </x:row>
    <x:row r="89" ht="22" customHeight="1">
      <x:c r="A89" s="300"/>
      <x:c r="B89" s="300"/>
      <x:c r="C89" s="300"/>
      <x:c r="D89" s="300"/>
      <x:c r="E89" s="300"/>
      <x:c r="F89" s="300"/>
      <x:c r="G89" s="300"/>
      <x:c r="H89" s="300"/>
      <x:c r="I89" s="300"/>
      <x:c r="J89" s="300"/>
      <x:c r="K89" s="300"/>
      <x:c r="L89" s="300"/>
      <x:c r="M89" s="300"/>
      <x:c r="N89" s="300"/>
    </x:row>
    <x:row r="90" ht="22" customHeight="1">
      <x:c r="A90" s="300"/>
      <x:c r="B90" s="300"/>
      <x:c r="C90" s="300"/>
      <x:c r="D90" s="300"/>
      <x:c r="E90" s="300"/>
      <x:c r="F90" s="300"/>
      <x:c r="G90" s="300"/>
      <x:c r="H90" s="300"/>
      <x:c r="I90" s="300"/>
      <x:c r="J90" s="300"/>
      <x:c r="K90" s="300"/>
      <x:c r="L90" s="300"/>
      <x:c r="M90" s="300"/>
      <x:c r="N90" s="300"/>
    </x:row>
    <x:row r="91" ht="22" customHeight="1">
      <x:c r="A91" s="300"/>
      <x:c r="B91" s="300"/>
      <x:c r="C91" s="300"/>
      <x:c r="D91" s="300"/>
      <x:c r="E91" s="300"/>
      <x:c r="F91" s="300"/>
      <x:c r="G91" s="300"/>
      <x:c r="H91" s="300"/>
      <x:c r="I91" s="300"/>
      <x:c r="J91" s="300"/>
      <x:c r="K91" s="300"/>
      <x:c r="L91" s="300"/>
      <x:c r="M91" s="300"/>
      <x:c r="N91" s="300"/>
    </x:row>
    <x:row r="92" ht="22" customHeight="1">
      <x:c r="A92" s="300"/>
      <x:c r="B92" s="300"/>
      <x:c r="C92" s="300"/>
      <x:c r="D92" s="300"/>
      <x:c r="E92" s="300"/>
      <x:c r="F92" s="300"/>
      <x:c r="G92" s="300"/>
      <x:c r="H92" s="300"/>
      <x:c r="I92" s="300"/>
      <x:c r="J92" s="300"/>
      <x:c r="K92" s="300"/>
      <x:c r="L92" s="300"/>
      <x:c r="M92" s="300"/>
      <x:c r="N92" s="300"/>
    </x:row>
    <x:row r="93" ht="22" customHeight="1">
      <x:c r="A93" s="300"/>
      <x:c r="B93" s="300"/>
      <x:c r="C93" s="300"/>
      <x:c r="D93" s="300"/>
      <x:c r="E93" s="300"/>
      <x:c r="F93" s="300"/>
      <x:c r="G93" s="300"/>
      <x:c r="H93" s="300"/>
      <x:c r="I93" s="300"/>
      <x:c r="J93" s="300"/>
      <x:c r="K93" s="300"/>
      <x:c r="L93" s="300"/>
      <x:c r="M93" s="300"/>
      <x:c r="N93" s="300"/>
    </x:row>
    <x:row r="94" ht="22" customHeight="1">
      <x:c r="A94" s="300"/>
      <x:c r="B94" s="300"/>
      <x:c r="C94" s="300"/>
      <x:c r="D94" s="300"/>
      <x:c r="E94" s="300"/>
      <x:c r="F94" s="300"/>
      <x:c r="G94" s="300"/>
      <x:c r="H94" s="300"/>
      <x:c r="I94" s="300"/>
      <x:c r="J94" s="300"/>
      <x:c r="K94" s="300"/>
      <x:c r="L94" s="300"/>
      <x:c r="M94" s="300"/>
      <x:c r="N94" s="300"/>
    </x:row>
    <x:row r="95" ht="22" customHeight="1">
      <x:c r="A95" s="300"/>
      <x:c r="B95" s="300"/>
      <x:c r="C95" s="300"/>
      <x:c r="D95" s="300"/>
      <x:c r="E95" s="300"/>
      <x:c r="F95" s="300"/>
      <x:c r="G95" s="300"/>
      <x:c r="H95" s="300"/>
      <x:c r="I95" s="300"/>
      <x:c r="J95" s="300"/>
      <x:c r="K95" s="300"/>
      <x:c r="L95" s="300"/>
      <x:c r="M95" s="300"/>
      <x:c r="N95" s="300"/>
    </x:row>
    <x:row r="96" ht="22" customHeight="1">
      <x:c r="A96" s="300"/>
      <x:c r="B96" s="300"/>
      <x:c r="C96" s="300"/>
      <x:c r="D96" s="300"/>
      <x:c r="E96" s="300"/>
      <x:c r="F96" s="300"/>
      <x:c r="G96" s="300"/>
      <x:c r="H96" s="300"/>
      <x:c r="I96" s="300"/>
      <x:c r="J96" s="300"/>
      <x:c r="K96" s="300"/>
      <x:c r="L96" s="300"/>
      <x:c r="M96" s="300"/>
      <x:c r="N96" s="300"/>
    </x:row>
    <x:row r="97" ht="22" customHeight="1">
      <x:c r="A97" s="300"/>
      <x:c r="B97" s="300"/>
      <x:c r="C97" s="300"/>
      <x:c r="D97" s="300"/>
      <x:c r="E97" s="300"/>
      <x:c r="F97" s="300"/>
      <x:c r="G97" s="300"/>
      <x:c r="H97" s="300"/>
      <x:c r="I97" s="300"/>
      <x:c r="J97" s="300"/>
      <x:c r="K97" s="300"/>
      <x:c r="L97" s="300"/>
      <x:c r="M97" s="300"/>
      <x:c r="N97" s="300"/>
    </x:row>
    <x:row r="98" ht="22" customHeight="1">
      <x:c r="A98" s="300"/>
      <x:c r="B98" s="300"/>
      <x:c r="C98" s="300"/>
      <x:c r="D98" s="300"/>
      <x:c r="E98" s="300"/>
      <x:c r="F98" s="300"/>
      <x:c r="G98" s="300"/>
      <x:c r="H98" s="300"/>
      <x:c r="I98" s="300"/>
      <x:c r="J98" s="300"/>
      <x:c r="K98" s="300"/>
      <x:c r="L98" s="300"/>
      <x:c r="M98" s="300"/>
      <x:c r="N98" s="300"/>
    </x:row>
    <x:row r="99" ht="22" customHeight="1">
      <x:c r="A99" s="300"/>
      <x:c r="B99" s="300"/>
      <x:c r="C99" s="300"/>
      <x:c r="D99" s="300"/>
      <x:c r="E99" s="300"/>
      <x:c r="F99" s="300"/>
      <x:c r="G99" s="300"/>
      <x:c r="H99" s="300"/>
      <x:c r="I99" s="300"/>
      <x:c r="J99" s="300"/>
      <x:c r="K99" s="300"/>
      <x:c r="L99" s="300"/>
      <x:c r="M99" s="300"/>
      <x:c r="N99" s="300"/>
    </x:row>
    <x:row r="100" ht="22" customHeight="1">
      <x:c r="A100" s="300"/>
      <x:c r="B100" s="300"/>
      <x:c r="C100" s="300"/>
      <x:c r="D100" s="300"/>
      <x:c r="E100" s="300"/>
      <x:c r="F100" s="300"/>
      <x:c r="G100" s="300"/>
      <x:c r="H100" s="300"/>
      <x:c r="I100" s="300"/>
      <x:c r="J100" s="300"/>
      <x:c r="K100" s="300"/>
      <x:c r="L100" s="300"/>
      <x:c r="M100" s="300"/>
      <x:c r="N100" s="300"/>
    </x:row>
    <x:row r="101" ht="22" customHeight="1">
      <x:c r="A101" s="300"/>
      <x:c r="B101" s="300"/>
      <x:c r="C101" s="300"/>
      <x:c r="D101" s="300"/>
      <x:c r="E101" s="300"/>
      <x:c r="F101" s="300"/>
      <x:c r="G101" s="300"/>
      <x:c r="H101" s="300"/>
      <x:c r="I101" s="300"/>
      <x:c r="J101" s="300"/>
      <x:c r="K101" s="300"/>
      <x:c r="L101" s="300"/>
      <x:c r="M101" s="300"/>
      <x:c r="N101" s="300"/>
    </x:row>
    <x:row r="102" ht="22" customHeight="1">
      <x:c r="A102" s="300"/>
      <x:c r="B102" s="300"/>
      <x:c r="C102" s="300"/>
      <x:c r="D102" s="300"/>
      <x:c r="E102" s="300"/>
      <x:c r="F102" s="300"/>
      <x:c r="G102" s="300"/>
      <x:c r="H102" s="300"/>
      <x:c r="I102" s="300"/>
      <x:c r="J102" s="300"/>
      <x:c r="K102" s="300"/>
      <x:c r="L102" s="300"/>
      <x:c r="M102" s="300"/>
      <x:c r="N102" s="300"/>
    </x:row>
    <x:row r="103" ht="22" customHeight="1">
      <x:c r="A103" s="300"/>
      <x:c r="B103" s="300"/>
      <x:c r="C103" s="300"/>
      <x:c r="D103" s="300"/>
      <x:c r="E103" s="300"/>
      <x:c r="F103" s="300"/>
      <x:c r="G103" s="300"/>
      <x:c r="H103" s="300"/>
      <x:c r="I103" s="300"/>
      <x:c r="J103" s="300"/>
      <x:c r="K103" s="300"/>
      <x:c r="L103" s="300"/>
      <x:c r="M103" s="300"/>
      <x:c r="N103" s="300"/>
    </x:row>
    <x:row r="104" ht="22" customHeight="1">
      <x:c r="A104" s="300"/>
      <x:c r="B104" s="300"/>
      <x:c r="C104" s="300"/>
      <x:c r="D104" s="300"/>
      <x:c r="E104" s="300"/>
      <x:c r="F104" s="300"/>
      <x:c r="G104" s="300"/>
      <x:c r="H104" s="300"/>
      <x:c r="I104" s="300"/>
      <x:c r="J104" s="300"/>
      <x:c r="K104" s="300"/>
      <x:c r="L104" s="300"/>
      <x:c r="M104" s="300"/>
      <x:c r="N104" s="300"/>
    </x:row>
    <x:row r="105" ht="22" customHeight="1">
      <x:c r="A105" s="300"/>
      <x:c r="B105" s="300"/>
      <x:c r="C105" s="300"/>
      <x:c r="D105" s="300"/>
      <x:c r="E105" s="300"/>
      <x:c r="F105" s="300"/>
      <x:c r="G105" s="300"/>
      <x:c r="H105" s="300"/>
      <x:c r="I105" s="300"/>
      <x:c r="J105" s="300"/>
      <x:c r="K105" s="300"/>
      <x:c r="L105" s="300"/>
      <x:c r="M105" s="300"/>
      <x:c r="N105" s="300"/>
    </x:row>
    <x:row r="106" ht="22" customHeight="1">
      <x:c r="A106" s="300"/>
      <x:c r="B106" s="300"/>
      <x:c r="C106" s="300"/>
      <x:c r="D106" s="300"/>
      <x:c r="E106" s="300"/>
      <x:c r="F106" s="300"/>
      <x:c r="G106" s="300"/>
      <x:c r="H106" s="300"/>
      <x:c r="I106" s="300"/>
      <x:c r="J106" s="300"/>
      <x:c r="K106" s="300"/>
      <x:c r="L106" s="300"/>
      <x:c r="M106" s="300"/>
      <x:c r="N106" s="300"/>
    </x:row>
    <x:row r="107" ht="22" customHeight="1">
      <x:c r="A107" s="300"/>
      <x:c r="B107" s="300"/>
      <x:c r="C107" s="300"/>
      <x:c r="D107" s="300"/>
      <x:c r="E107" s="300"/>
      <x:c r="F107" s="300"/>
      <x:c r="G107" s="300"/>
      <x:c r="H107" s="300"/>
      <x:c r="I107" s="300"/>
      <x:c r="J107" s="300"/>
      <x:c r="K107" s="300"/>
      <x:c r="L107" s="300"/>
      <x:c r="M107" s="300"/>
      <x:c r="N107" s="300"/>
    </x:row>
    <x:row r="108" ht="22" customHeight="1">
      <x:c r="A108" s="300"/>
      <x:c r="B108" s="300"/>
      <x:c r="C108" s="300"/>
      <x:c r="D108" s="300"/>
      <x:c r="E108" s="300"/>
      <x:c r="F108" s="300"/>
      <x:c r="G108" s="300"/>
      <x:c r="H108" s="300"/>
      <x:c r="I108" s="300"/>
      <x:c r="J108" s="300"/>
      <x:c r="K108" s="300"/>
      <x:c r="L108" s="300"/>
      <x:c r="M108" s="300"/>
      <x:c r="N108" s="300"/>
    </x:row>
    <x:row r="109" ht="22" customHeight="1">
      <x:c r="A109" s="300"/>
      <x:c r="B109" s="300"/>
      <x:c r="C109" s="300"/>
      <x:c r="D109" s="300"/>
      <x:c r="E109" s="300"/>
      <x:c r="F109" s="300"/>
      <x:c r="G109" s="300"/>
      <x:c r="H109" s="300"/>
      <x:c r="I109" s="300"/>
      <x:c r="J109" s="300"/>
      <x:c r="K109" s="300"/>
      <x:c r="L109" s="300"/>
      <x:c r="M109" s="300"/>
      <x:c r="N109" s="300"/>
    </x:row>
    <x:row r="110" ht="22" customHeight="1">
      <x:c r="A110" s="300"/>
      <x:c r="B110" s="300"/>
      <x:c r="C110" s="300"/>
      <x:c r="D110" s="300"/>
      <x:c r="E110" s="300"/>
      <x:c r="F110" s="300"/>
      <x:c r="G110" s="300"/>
      <x:c r="H110" s="300"/>
      <x:c r="I110" s="300"/>
      <x:c r="J110" s="300"/>
      <x:c r="K110" s="300"/>
      <x:c r="L110" s="300"/>
      <x:c r="M110" s="300"/>
      <x:c r="N110" s="300"/>
    </x:row>
    <x:row r="111" ht="22" customHeight="1">
      <x:c r="A111" s="300"/>
      <x:c r="B111" s="300"/>
      <x:c r="C111" s="300"/>
      <x:c r="D111" s="300"/>
      <x:c r="E111" s="300"/>
      <x:c r="F111" s="300"/>
      <x:c r="G111" s="300"/>
      <x:c r="H111" s="300"/>
      <x:c r="I111" s="300"/>
      <x:c r="J111" s="300"/>
      <x:c r="K111" s="300"/>
      <x:c r="L111" s="300"/>
      <x:c r="M111" s="300"/>
      <x:c r="N111" s="300"/>
    </x:row>
    <x:row r="112" ht="22" customHeight="1">
      <x:c r="A112" s="300"/>
      <x:c r="B112" s="300"/>
      <x:c r="C112" s="300"/>
      <x:c r="D112" s="300"/>
      <x:c r="E112" s="300"/>
      <x:c r="F112" s="300"/>
      <x:c r="G112" s="300"/>
      <x:c r="H112" s="300"/>
      <x:c r="I112" s="300"/>
      <x:c r="J112" s="300"/>
      <x:c r="K112" s="300"/>
      <x:c r="L112" s="300"/>
      <x:c r="M112" s="300"/>
      <x:c r="N112" s="300"/>
    </x:row>
    <x:row r="113" ht="22" customHeight="1">
      <x:c r="A113" s="300"/>
      <x:c r="B113" s="300"/>
      <x:c r="C113" s="300"/>
      <x:c r="D113" s="300"/>
      <x:c r="E113" s="300"/>
      <x:c r="F113" s="300"/>
      <x:c r="G113" s="300"/>
      <x:c r="H113" s="300"/>
      <x:c r="I113" s="300"/>
      <x:c r="J113" s="300"/>
      <x:c r="K113" s="300"/>
      <x:c r="L113" s="300"/>
      <x:c r="M113" s="300"/>
      <x:c r="N113" s="300"/>
    </x:row>
    <x:row r="114" ht="22" customHeight="1">
      <x:c r="A114" s="300"/>
      <x:c r="B114" s="300"/>
      <x:c r="C114" s="300"/>
      <x:c r="D114" s="300"/>
      <x:c r="E114" s="300"/>
      <x:c r="F114" s="300"/>
      <x:c r="G114" s="300"/>
      <x:c r="H114" s="300"/>
      <x:c r="I114" s="300"/>
      <x:c r="J114" s="300"/>
      <x:c r="K114" s="300"/>
      <x:c r="L114" s="300"/>
      <x:c r="M114" s="300"/>
      <x:c r="N114" s="300"/>
    </x:row>
    <x:row r="115" ht="22" customHeight="1">
      <x:c r="A115" s="300"/>
      <x:c r="B115" s="300"/>
      <x:c r="C115" s="300"/>
      <x:c r="D115" s="300"/>
      <x:c r="E115" s="300"/>
      <x:c r="F115" s="300"/>
      <x:c r="G115" s="300"/>
      <x:c r="H115" s="300"/>
      <x:c r="I115" s="300"/>
      <x:c r="J115" s="300"/>
      <x:c r="K115" s="300"/>
      <x:c r="L115" s="300"/>
      <x:c r="M115" s="300"/>
      <x:c r="N115" s="300"/>
    </x:row>
    <x:row r="116" ht="22" customHeight="1">
      <x:c r="A116" s="300"/>
      <x:c r="B116" s="300"/>
      <x:c r="C116" s="300"/>
      <x:c r="D116" s="300"/>
      <x:c r="E116" s="300"/>
      <x:c r="F116" s="300"/>
      <x:c r="G116" s="300"/>
      <x:c r="H116" s="300"/>
      <x:c r="I116" s="300"/>
      <x:c r="J116" s="300"/>
      <x:c r="K116" s="300"/>
      <x:c r="L116" s="300"/>
      <x:c r="M116" s="300"/>
      <x:c r="N116" s="300"/>
    </x:row>
    <x:row r="117" ht="22" customHeight="1">
      <x:c r="A117" s="300"/>
      <x:c r="B117" s="300"/>
      <x:c r="C117" s="300"/>
      <x:c r="D117" s="300"/>
      <x:c r="E117" s="300"/>
      <x:c r="F117" s="300"/>
      <x:c r="G117" s="300"/>
      <x:c r="H117" s="300"/>
      <x:c r="I117" s="300"/>
      <x:c r="J117" s="300"/>
      <x:c r="K117" s="300"/>
      <x:c r="L117" s="300"/>
      <x:c r="M117" s="300"/>
      <x:c r="N117" s="300"/>
    </x:row>
    <x:row r="118" ht="22" customHeight="1">
      <x:c r="A118" s="300"/>
      <x:c r="B118" s="300"/>
      <x:c r="C118" s="300"/>
      <x:c r="D118" s="300"/>
      <x:c r="E118" s="300"/>
      <x:c r="F118" s="300"/>
      <x:c r="G118" s="300"/>
      <x:c r="H118" s="300"/>
      <x:c r="I118" s="300"/>
      <x:c r="J118" s="300"/>
      <x:c r="K118" s="300"/>
      <x:c r="L118" s="300"/>
      <x:c r="M118" s="300"/>
      <x:c r="N118" s="300"/>
    </x:row>
    <x:row r="119" ht="22" customHeight="1">
      <x:c r="A119" s="300"/>
      <x:c r="B119" s="300"/>
      <x:c r="C119" s="300"/>
      <x:c r="D119" s="300"/>
      <x:c r="E119" s="300"/>
      <x:c r="F119" s="300"/>
      <x:c r="G119" s="300"/>
      <x:c r="H119" s="300"/>
      <x:c r="I119" s="300"/>
      <x:c r="J119" s="300"/>
      <x:c r="K119" s="300"/>
      <x:c r="L119" s="300"/>
      <x:c r="M119" s="300"/>
      <x:c r="N119" s="300"/>
    </x:row>
    <x:row r="120" ht="22" customHeight="1">
      <x:c r="A120" s="300"/>
      <x:c r="B120" s="300"/>
      <x:c r="C120" s="300"/>
      <x:c r="D120" s="300"/>
      <x:c r="E120" s="300"/>
      <x:c r="F120" s="300"/>
      <x:c r="G120" s="300"/>
      <x:c r="H120" s="300"/>
      <x:c r="I120" s="300"/>
      <x:c r="J120" s="300"/>
      <x:c r="K120" s="300"/>
      <x:c r="L120" s="300"/>
      <x:c r="M120" s="300"/>
      <x:c r="N120" s="300"/>
    </x:row>
    <x:row r="121" ht="22" customHeight="1">
      <x:c r="A121" s="300"/>
      <x:c r="B121" s="300"/>
      <x:c r="C121" s="300"/>
      <x:c r="D121" s="300"/>
      <x:c r="E121" s="300"/>
      <x:c r="F121" s="300"/>
      <x:c r="G121" s="300"/>
      <x:c r="H121" s="300"/>
      <x:c r="I121" s="300"/>
      <x:c r="J121" s="300"/>
      <x:c r="K121" s="300"/>
      <x:c r="L121" s="300"/>
      <x:c r="M121" s="300"/>
      <x:c r="N121" s="300"/>
    </x:row>
    <x:row r="122" ht="22" customHeight="1">
      <x:c r="A122" s="300"/>
      <x:c r="B122" s="300"/>
      <x:c r="C122" s="300"/>
      <x:c r="D122" s="300"/>
      <x:c r="E122" s="300"/>
      <x:c r="F122" s="300"/>
      <x:c r="G122" s="300"/>
      <x:c r="H122" s="300"/>
      <x:c r="I122" s="300"/>
      <x:c r="J122" s="300"/>
      <x:c r="K122" s="300"/>
      <x:c r="L122" s="300"/>
      <x:c r="M122" s="300"/>
      <x:c r="N122" s="300"/>
    </x:row>
    <x:row r="123" ht="22" customHeight="1">
      <x:c r="A123" s="300"/>
      <x:c r="B123" s="300"/>
      <x:c r="C123" s="300"/>
      <x:c r="D123" s="300"/>
      <x:c r="E123" s="300"/>
      <x:c r="F123" s="300"/>
      <x:c r="G123" s="300"/>
      <x:c r="H123" s="300"/>
      <x:c r="I123" s="300"/>
      <x:c r="J123" s="300"/>
      <x:c r="K123" s="300"/>
      <x:c r="L123" s="300"/>
      <x:c r="M123" s="300"/>
      <x:c r="N123" s="300"/>
    </x:row>
    <x:row r="124" ht="22" customHeight="1">
      <x:c r="A124" s="300"/>
      <x:c r="B124" s="300"/>
      <x:c r="C124" s="300"/>
      <x:c r="D124" s="300"/>
      <x:c r="E124" s="300"/>
      <x:c r="F124" s="300"/>
      <x:c r="G124" s="300"/>
      <x:c r="H124" s="300"/>
      <x:c r="I124" s="300"/>
      <x:c r="J124" s="300"/>
      <x:c r="K124" s="300"/>
      <x:c r="L124" s="300"/>
      <x:c r="M124" s="300"/>
      <x:c r="N124" s="300"/>
    </x:row>
    <x:row r="125" ht="22" customHeight="1">
      <x:c r="A125" s="300"/>
      <x:c r="B125" s="300"/>
      <x:c r="C125" s="300"/>
      <x:c r="D125" s="300"/>
      <x:c r="E125" s="300"/>
      <x:c r="F125" s="300"/>
      <x:c r="G125" s="300"/>
      <x:c r="H125" s="300"/>
      <x:c r="I125" s="300"/>
      <x:c r="J125" s="300"/>
      <x:c r="K125" s="300"/>
      <x:c r="L125" s="300"/>
      <x:c r="M125" s="300"/>
      <x:c r="N125" s="300"/>
    </x:row>
    <x:row r="126" ht="22" customHeight="1">
      <x:c r="A126" s="300"/>
      <x:c r="B126" s="300"/>
      <x:c r="C126" s="300"/>
      <x:c r="D126" s="300"/>
      <x:c r="E126" s="300"/>
      <x:c r="F126" s="300"/>
      <x:c r="G126" s="300"/>
      <x:c r="H126" s="300"/>
      <x:c r="I126" s="300"/>
      <x:c r="J126" s="300"/>
      <x:c r="K126" s="300"/>
      <x:c r="L126" s="300"/>
      <x:c r="M126" s="300"/>
      <x:c r="N126" s="300"/>
    </x:row>
    <x:row r="127" ht="22" customHeight="1">
      <x:c r="A127" s="300"/>
      <x:c r="B127" s="300"/>
      <x:c r="C127" s="300"/>
      <x:c r="D127" s="300"/>
      <x:c r="E127" s="300"/>
      <x:c r="F127" s="300"/>
      <x:c r="G127" s="300"/>
      <x:c r="H127" s="300"/>
      <x:c r="I127" s="300"/>
      <x:c r="J127" s="300"/>
      <x:c r="K127" s="300"/>
      <x:c r="L127" s="300"/>
      <x:c r="M127" s="300"/>
      <x:c r="N127" s="300"/>
    </x:row>
    <x:row r="128" ht="22" customHeight="1">
      <x:c r="A128" s="300"/>
      <x:c r="B128" s="300"/>
      <x:c r="C128" s="300"/>
      <x:c r="D128" s="300"/>
      <x:c r="E128" s="300"/>
      <x:c r="F128" s="300"/>
      <x:c r="G128" s="300"/>
      <x:c r="H128" s="300"/>
      <x:c r="I128" s="300"/>
      <x:c r="J128" s="300"/>
      <x:c r="K128" s="300"/>
      <x:c r="L128" s="300"/>
      <x:c r="M128" s="300"/>
      <x:c r="N128" s="300"/>
    </x:row>
    <x:row r="129" ht="22" customHeight="1">
      <x:c r="A129" s="300"/>
      <x:c r="B129" s="300"/>
      <x:c r="C129" s="300"/>
      <x:c r="D129" s="300"/>
      <x:c r="E129" s="300"/>
      <x:c r="F129" s="300"/>
      <x:c r="G129" s="300"/>
      <x:c r="H129" s="300"/>
      <x:c r="I129" s="300"/>
      <x:c r="J129" s="300"/>
      <x:c r="K129" s="300"/>
      <x:c r="L129" s="300"/>
      <x:c r="M129" s="300"/>
      <x:c r="N129" s="300"/>
    </x:row>
    <x:row r="130" ht="22" customHeight="1">
      <x:c r="A130" s="300"/>
      <x:c r="B130" s="300"/>
      <x:c r="C130" s="300"/>
      <x:c r="D130" s="300"/>
      <x:c r="E130" s="300"/>
      <x:c r="F130" s="300"/>
      <x:c r="G130" s="300"/>
      <x:c r="H130" s="300"/>
      <x:c r="I130" s="300"/>
      <x:c r="J130" s="300"/>
      <x:c r="K130" s="300"/>
      <x:c r="L130" s="300"/>
      <x:c r="M130" s="300"/>
      <x:c r="N130" s="300"/>
    </x:row>
    <x:row r="131" ht="22" customHeight="1">
      <x:c r="A131" s="300"/>
      <x:c r="B131" s="300"/>
      <x:c r="C131" s="300"/>
      <x:c r="D131" s="300"/>
      <x:c r="E131" s="300"/>
      <x:c r="F131" s="300"/>
      <x:c r="G131" s="300"/>
      <x:c r="H131" s="300"/>
      <x:c r="I131" s="300"/>
      <x:c r="J131" s="300"/>
      <x:c r="K131" s="300"/>
      <x:c r="L131" s="300"/>
      <x:c r="M131" s="300"/>
      <x:c r="N131" s="300"/>
    </x:row>
    <x:row r="132" ht="22" customHeight="1">
      <x:c r="A132" s="300"/>
      <x:c r="B132" s="300"/>
      <x:c r="C132" s="300"/>
      <x:c r="D132" s="300"/>
      <x:c r="E132" s="300"/>
      <x:c r="F132" s="300"/>
      <x:c r="G132" s="300"/>
      <x:c r="H132" s="300"/>
      <x:c r="I132" s="300"/>
      <x:c r="J132" s="300"/>
      <x:c r="K132" s="300"/>
      <x:c r="L132" s="300"/>
      <x:c r="M132" s="300"/>
      <x:c r="N132" s="300"/>
    </x:row>
    <x:row r="133" ht="22" customHeight="1">
      <x:c r="A133" s="300"/>
      <x:c r="B133" s="300"/>
      <x:c r="C133" s="300"/>
      <x:c r="D133" s="300"/>
      <x:c r="E133" s="300"/>
      <x:c r="F133" s="300"/>
      <x:c r="G133" s="300"/>
      <x:c r="H133" s="300"/>
      <x:c r="I133" s="300"/>
      <x:c r="J133" s="300"/>
      <x:c r="K133" s="300"/>
      <x:c r="L133" s="300"/>
      <x:c r="M133" s="300"/>
      <x:c r="N133" s="300"/>
    </x:row>
    <x:row r="134" ht="22" customHeight="1">
      <x:c r="A134" s="300"/>
      <x:c r="B134" s="300"/>
      <x:c r="C134" s="300"/>
      <x:c r="D134" s="300"/>
      <x:c r="E134" s="300"/>
      <x:c r="F134" s="300"/>
      <x:c r="G134" s="300"/>
      <x:c r="H134" s="300"/>
      <x:c r="I134" s="300"/>
      <x:c r="J134" s="300"/>
      <x:c r="K134" s="300"/>
      <x:c r="L134" s="300"/>
      <x:c r="M134" s="300"/>
      <x:c r="N134" s="300"/>
    </x:row>
    <x:row r="135" ht="22" customHeight="1">
      <x:c r="A135" s="300"/>
      <x:c r="B135" s="300"/>
      <x:c r="C135" s="300"/>
      <x:c r="D135" s="300"/>
      <x:c r="E135" s="300"/>
      <x:c r="F135" s="300"/>
      <x:c r="G135" s="300"/>
      <x:c r="H135" s="300"/>
      <x:c r="I135" s="300"/>
      <x:c r="J135" s="300"/>
      <x:c r="K135" s="300"/>
      <x:c r="L135" s="300"/>
      <x:c r="M135" s="300"/>
      <x:c r="N135" s="300"/>
    </x:row>
    <x:row r="136" ht="22" customHeight="1">
      <x:c r="A136" s="300"/>
      <x:c r="B136" s="300"/>
      <x:c r="C136" s="300"/>
      <x:c r="D136" s="300"/>
      <x:c r="E136" s="300"/>
      <x:c r="F136" s="300"/>
      <x:c r="G136" s="300"/>
      <x:c r="H136" s="300"/>
      <x:c r="I136" s="300"/>
      <x:c r="J136" s="300"/>
      <x:c r="K136" s="300"/>
      <x:c r="L136" s="300"/>
      <x:c r="M136" s="300"/>
      <x:c r="N136" s="300"/>
    </x:row>
    <x:row r="137" ht="22" customHeight="1">
      <x:c r="A137" s="300"/>
      <x:c r="B137" s="300"/>
      <x:c r="C137" s="300"/>
      <x:c r="D137" s="300"/>
      <x:c r="E137" s="300"/>
      <x:c r="F137" s="300"/>
      <x:c r="G137" s="300"/>
      <x:c r="H137" s="300"/>
      <x:c r="I137" s="300"/>
      <x:c r="J137" s="300"/>
      <x:c r="K137" s="300"/>
      <x:c r="L137" s="300"/>
      <x:c r="M137" s="300"/>
      <x:c r="N137" s="300"/>
    </x:row>
    <x:row r="138" ht="22" customHeight="1">
      <x:c r="A138" s="300"/>
      <x:c r="B138" s="300"/>
      <x:c r="C138" s="300"/>
      <x:c r="D138" s="300"/>
      <x:c r="E138" s="300"/>
      <x:c r="F138" s="300"/>
      <x:c r="G138" s="300"/>
      <x:c r="H138" s="300"/>
      <x:c r="I138" s="300"/>
      <x:c r="J138" s="300"/>
      <x:c r="K138" s="300"/>
      <x:c r="L138" s="300"/>
      <x:c r="M138" s="300"/>
      <x:c r="N138" s="300"/>
    </x:row>
    <x:row r="139" ht="22" customHeight="1">
      <x:c r="A139" s="300"/>
      <x:c r="B139" s="300"/>
      <x:c r="C139" s="300"/>
      <x:c r="D139" s="300"/>
      <x:c r="E139" s="300"/>
      <x:c r="F139" s="300"/>
      <x:c r="G139" s="300"/>
      <x:c r="H139" s="300"/>
      <x:c r="I139" s="300"/>
      <x:c r="J139" s="300"/>
      <x:c r="K139" s="300"/>
      <x:c r="L139" s="300"/>
      <x:c r="M139" s="300"/>
      <x:c r="N139" s="300"/>
    </x:row>
    <x:row r="140" ht="22" customHeight="1">
      <x:c r="A140" s="300"/>
      <x:c r="B140" s="300"/>
      <x:c r="C140" s="300"/>
      <x:c r="D140" s="300"/>
      <x:c r="E140" s="300"/>
      <x:c r="F140" s="300"/>
      <x:c r="G140" s="300"/>
      <x:c r="H140" s="300"/>
      <x:c r="I140" s="300"/>
      <x:c r="J140" s="300"/>
      <x:c r="K140" s="300"/>
      <x:c r="L140" s="300"/>
      <x:c r="M140" s="300"/>
      <x:c r="N140" s="300"/>
    </x:row>
    <x:row r="141" ht="22" customHeight="1">
      <x:c r="A141" s="300"/>
      <x:c r="B141" s="300"/>
      <x:c r="C141" s="300"/>
      <x:c r="D141" s="300"/>
      <x:c r="E141" s="300"/>
      <x:c r="F141" s="300"/>
      <x:c r="G141" s="300"/>
      <x:c r="H141" s="300"/>
      <x:c r="I141" s="300"/>
      <x:c r="J141" s="300"/>
      <x:c r="K141" s="300"/>
      <x:c r="L141" s="300"/>
      <x:c r="M141" s="300"/>
      <x:c r="N141" s="300"/>
    </x:row>
    <x:row r="142" ht="22" customHeight="1">
      <x:c r="A142" s="300"/>
      <x:c r="B142" s="300"/>
      <x:c r="C142" s="300"/>
      <x:c r="D142" s="300"/>
      <x:c r="E142" s="300"/>
      <x:c r="F142" s="300"/>
      <x:c r="G142" s="300"/>
      <x:c r="H142" s="300"/>
      <x:c r="I142" s="300"/>
      <x:c r="J142" s="300"/>
      <x:c r="K142" s="300"/>
      <x:c r="L142" s="300"/>
      <x:c r="M142" s="300"/>
      <x:c r="N142" s="300"/>
    </x:row>
    <x:row r="143" ht="22" customHeight="1">
      <x:c r="A143" s="300"/>
      <x:c r="B143" s="300"/>
      <x:c r="C143" s="300"/>
      <x:c r="D143" s="300"/>
      <x:c r="E143" s="300"/>
      <x:c r="F143" s="300"/>
      <x:c r="G143" s="300"/>
      <x:c r="H143" s="300"/>
      <x:c r="I143" s="300"/>
      <x:c r="J143" s="300"/>
      <x:c r="K143" s="300"/>
      <x:c r="L143" s="300"/>
      <x:c r="M143" s="300"/>
      <x:c r="N143" s="300"/>
    </x:row>
    <x:row r="144" ht="22" customHeight="1">
      <x:c r="A144" s="300"/>
      <x:c r="B144" s="300"/>
      <x:c r="C144" s="300"/>
      <x:c r="D144" s="300"/>
      <x:c r="E144" s="300"/>
      <x:c r="F144" s="300"/>
      <x:c r="G144" s="300"/>
      <x:c r="H144" s="300"/>
      <x:c r="I144" s="300"/>
      <x:c r="J144" s="300"/>
      <x:c r="K144" s="300"/>
      <x:c r="L144" s="300"/>
      <x:c r="M144" s="300"/>
      <x:c r="N144" s="300"/>
    </x:row>
    <x:row r="145" ht="22" customHeight="1">
      <x:c r="A145" s="300"/>
      <x:c r="B145" s="300"/>
      <x:c r="C145" s="300"/>
      <x:c r="D145" s="300"/>
      <x:c r="E145" s="300"/>
      <x:c r="F145" s="300"/>
      <x:c r="G145" s="300"/>
      <x:c r="H145" s="300"/>
      <x:c r="I145" s="300"/>
      <x:c r="J145" s="300"/>
      <x:c r="K145" s="300"/>
      <x:c r="L145" s="300"/>
      <x:c r="M145" s="300"/>
      <x:c r="N145" s="300"/>
    </x:row>
    <x:row r="146" ht="22" customHeight="1">
      <x:c r="A146" s="300"/>
      <x:c r="B146" s="300"/>
      <x:c r="C146" s="300"/>
      <x:c r="D146" s="300"/>
      <x:c r="E146" s="300"/>
      <x:c r="F146" s="300"/>
      <x:c r="G146" s="300"/>
      <x:c r="H146" s="300"/>
      <x:c r="I146" s="300"/>
      <x:c r="J146" s="300"/>
      <x:c r="K146" s="300"/>
      <x:c r="L146" s="300"/>
      <x:c r="M146" s="300"/>
      <x:c r="N146" s="300"/>
    </x:row>
    <x:row r="147" ht="22" customHeight="1">
      <x:c r="A147" s="300"/>
      <x:c r="B147" s="300"/>
      <x:c r="C147" s="300"/>
      <x:c r="D147" s="300"/>
      <x:c r="E147" s="300"/>
      <x:c r="F147" s="300"/>
      <x:c r="G147" s="300"/>
      <x:c r="H147" s="300"/>
      <x:c r="I147" s="300"/>
      <x:c r="J147" s="300"/>
      <x:c r="K147" s="300"/>
      <x:c r="L147" s="300"/>
      <x:c r="M147" s="300"/>
      <x:c r="N147" s="300"/>
    </x:row>
    <x:row r="148" ht="22" customHeight="1">
      <x:c r="A148" s="300"/>
      <x:c r="B148" s="300"/>
      <x:c r="C148" s="300"/>
      <x:c r="D148" s="300"/>
      <x:c r="E148" s="300"/>
      <x:c r="F148" s="300"/>
      <x:c r="G148" s="300"/>
      <x:c r="H148" s="300"/>
      <x:c r="I148" s="300"/>
      <x:c r="J148" s="300"/>
      <x:c r="K148" s="300"/>
      <x:c r="L148" s="300"/>
      <x:c r="M148" s="300"/>
      <x:c r="N148" s="300"/>
    </x:row>
    <x:row r="149" ht="22" customHeight="1">
      <x:c r="A149" s="300"/>
      <x:c r="B149" s="300"/>
      <x:c r="C149" s="300"/>
      <x:c r="D149" s="300"/>
      <x:c r="E149" s="300"/>
      <x:c r="F149" s="300"/>
      <x:c r="G149" s="300"/>
      <x:c r="H149" s="300"/>
      <x:c r="I149" s="300"/>
      <x:c r="J149" s="300"/>
      <x:c r="K149" s="300"/>
      <x:c r="L149" s="300"/>
      <x:c r="M149" s="300"/>
      <x:c r="N149" s="300"/>
    </x:row>
    <x:row r="150" ht="22" customHeight="1">
      <x:c r="A150" s="300"/>
      <x:c r="B150" s="300"/>
      <x:c r="C150" s="300"/>
      <x:c r="D150" s="300"/>
      <x:c r="E150" s="300"/>
      <x:c r="F150" s="300"/>
      <x:c r="G150" s="300"/>
      <x:c r="H150" s="300"/>
      <x:c r="I150" s="300"/>
      <x:c r="J150" s="300"/>
      <x:c r="K150" s="300"/>
      <x:c r="L150" s="300"/>
      <x:c r="M150" s="300"/>
      <x:c r="N150" s="300"/>
    </x:row>
    <x:row r="151" ht="22" customHeight="1">
      <x:c r="A151" s="300"/>
      <x:c r="B151" s="300"/>
      <x:c r="C151" s="300"/>
      <x:c r="D151" s="300"/>
      <x:c r="E151" s="300"/>
      <x:c r="F151" s="300"/>
      <x:c r="G151" s="300"/>
      <x:c r="H151" s="300"/>
      <x:c r="I151" s="300"/>
      <x:c r="J151" s="300"/>
      <x:c r="K151" s="300"/>
      <x:c r="L151" s="300"/>
      <x:c r="M151" s="300"/>
      <x:c r="N151" s="300"/>
    </x:row>
    <x:row r="152" ht="22" customHeight="1">
      <x:c r="A152" s="300"/>
      <x:c r="B152" s="300"/>
      <x:c r="C152" s="300"/>
      <x:c r="D152" s="300"/>
      <x:c r="E152" s="300"/>
      <x:c r="F152" s="300"/>
      <x:c r="G152" s="300"/>
      <x:c r="H152" s="300"/>
      <x:c r="I152" s="300"/>
      <x:c r="J152" s="300"/>
      <x:c r="K152" s="300"/>
      <x:c r="L152" s="300"/>
      <x:c r="M152" s="300"/>
      <x:c r="N152" s="300"/>
    </x:row>
    <x:row r="153" ht="22" customHeight="1">
      <x:c r="A153" s="300"/>
      <x:c r="B153" s="300"/>
      <x:c r="C153" s="300"/>
      <x:c r="D153" s="300"/>
      <x:c r="E153" s="300"/>
      <x:c r="F153" s="300"/>
      <x:c r="G153" s="300"/>
      <x:c r="H153" s="300"/>
      <x:c r="I153" s="300"/>
      <x:c r="J153" s="300"/>
      <x:c r="K153" s="300"/>
      <x:c r="L153" s="300"/>
      <x:c r="M153" s="300"/>
      <x:c r="N153" s="300"/>
    </x:row>
    <x:row r="154" ht="22" customHeight="1">
      <x:c r="A154" s="300"/>
      <x:c r="B154" s="300"/>
      <x:c r="C154" s="300"/>
      <x:c r="D154" s="300"/>
      <x:c r="E154" s="300"/>
      <x:c r="F154" s="300"/>
      <x:c r="G154" s="300"/>
      <x:c r="H154" s="300"/>
      <x:c r="I154" s="300"/>
      <x:c r="J154" s="300"/>
      <x:c r="K154" s="300"/>
      <x:c r="L154" s="300"/>
      <x:c r="M154" s="300"/>
      <x:c r="N154" s="300"/>
    </x:row>
    <x:row r="155" ht="22" customHeight="1">
      <x:c r="A155" s="300"/>
      <x:c r="B155" s="300"/>
      <x:c r="C155" s="300"/>
      <x:c r="D155" s="300"/>
      <x:c r="E155" s="300"/>
      <x:c r="F155" s="300"/>
      <x:c r="G155" s="300"/>
      <x:c r="H155" s="300"/>
      <x:c r="I155" s="300"/>
      <x:c r="J155" s="300"/>
      <x:c r="K155" s="300"/>
      <x:c r="L155" s="300"/>
      <x:c r="M155" s="300"/>
      <x:c r="N155" s="300"/>
    </x:row>
    <x:row r="156" ht="22" customHeight="1">
      <x:c r="A156" s="300"/>
      <x:c r="B156" s="300"/>
      <x:c r="C156" s="300"/>
      <x:c r="D156" s="300"/>
      <x:c r="E156" s="300"/>
      <x:c r="F156" s="300"/>
      <x:c r="G156" s="300"/>
      <x:c r="H156" s="300"/>
      <x:c r="I156" s="300"/>
      <x:c r="J156" s="300"/>
      <x:c r="K156" s="300"/>
      <x:c r="L156" s="300"/>
      <x:c r="M156" s="300"/>
      <x:c r="N156" s="300"/>
    </x:row>
    <x:row r="157" ht="22" customHeight="1">
      <x:c r="A157" s="300"/>
      <x:c r="B157" s="300"/>
      <x:c r="C157" s="300"/>
      <x:c r="D157" s="300"/>
      <x:c r="E157" s="300"/>
      <x:c r="F157" s="300"/>
      <x:c r="G157" s="300"/>
      <x:c r="H157" s="300"/>
      <x:c r="I157" s="300"/>
      <x:c r="J157" s="300"/>
      <x:c r="K157" s="300"/>
      <x:c r="L157" s="300"/>
      <x:c r="M157" s="300"/>
      <x:c r="N157" s="300"/>
    </x:row>
    <x:row r="158" ht="22" customHeight="1">
      <x:c r="A158" s="300"/>
      <x:c r="B158" s="300"/>
      <x:c r="C158" s="300"/>
      <x:c r="D158" s="300"/>
      <x:c r="E158" s="300"/>
      <x:c r="F158" s="300"/>
      <x:c r="G158" s="300"/>
      <x:c r="H158" s="300"/>
      <x:c r="I158" s="300"/>
      <x:c r="J158" s="300"/>
      <x:c r="K158" s="300"/>
      <x:c r="L158" s="300"/>
      <x:c r="M158" s="300"/>
      <x:c r="N158" s="300"/>
    </x:row>
    <x:row r="159" ht="22" customHeight="1">
      <x:c r="A159" s="300"/>
      <x:c r="B159" s="300"/>
      <x:c r="C159" s="300"/>
      <x:c r="D159" s="300"/>
      <x:c r="E159" s="300"/>
      <x:c r="F159" s="300"/>
      <x:c r="G159" s="300"/>
      <x:c r="H159" s="300"/>
      <x:c r="I159" s="300"/>
      <x:c r="J159" s="300"/>
      <x:c r="K159" s="300"/>
      <x:c r="L159" s="300"/>
      <x:c r="M159" s="300"/>
      <x:c r="N159" s="300"/>
    </x:row>
    <x:row r="160" ht="22" customHeight="1">
      <x:c r="A160" s="300"/>
      <x:c r="B160" s="300"/>
      <x:c r="C160" s="300"/>
      <x:c r="D160" s="300"/>
      <x:c r="E160" s="300"/>
      <x:c r="F160" s="300"/>
      <x:c r="G160" s="300"/>
      <x:c r="H160" s="300"/>
      <x:c r="I160" s="300"/>
      <x:c r="J160" s="300"/>
      <x:c r="K160" s="300"/>
      <x:c r="L160" s="300"/>
      <x:c r="M160" s="300"/>
      <x:c r="N160" s="300"/>
    </x:row>
    <x:row r="161" ht="22" customHeight="1">
      <x:c r="A161" s="300"/>
      <x:c r="B161" s="300"/>
      <x:c r="C161" s="300"/>
      <x:c r="D161" s="300"/>
      <x:c r="E161" s="300"/>
      <x:c r="F161" s="300"/>
      <x:c r="G161" s="300"/>
      <x:c r="H161" s="300"/>
      <x:c r="I161" s="300"/>
      <x:c r="J161" s="300"/>
      <x:c r="K161" s="300"/>
      <x:c r="L161" s="300"/>
      <x:c r="M161" s="300"/>
      <x:c r="N161" s="300"/>
    </x:row>
    <x:row r="162" ht="22" customHeight="1">
      <x:c r="A162" s="300"/>
      <x:c r="B162" s="300"/>
      <x:c r="C162" s="300"/>
      <x:c r="D162" s="300"/>
      <x:c r="E162" s="300"/>
      <x:c r="F162" s="300"/>
      <x:c r="G162" s="300"/>
      <x:c r="H162" s="300"/>
      <x:c r="I162" s="300"/>
      <x:c r="J162" s="300"/>
      <x:c r="K162" s="300"/>
      <x:c r="L162" s="300"/>
      <x:c r="M162" s="300"/>
      <x:c r="N162" s="300"/>
    </x:row>
    <x:row r="163" ht="22" customHeight="1">
      <x:c r="A163" s="300"/>
      <x:c r="B163" s="300"/>
      <x:c r="C163" s="300"/>
      <x:c r="D163" s="300"/>
      <x:c r="E163" s="300"/>
      <x:c r="F163" s="300"/>
      <x:c r="G163" s="300"/>
      <x:c r="H163" s="300"/>
      <x:c r="I163" s="300"/>
      <x:c r="J163" s="300"/>
      <x:c r="K163" s="300"/>
      <x:c r="L163" s="300"/>
      <x:c r="M163" s="300"/>
      <x:c r="N163" s="300"/>
    </x:row>
    <x:row r="164" ht="22" customHeight="1">
      <x:c r="A164" s="300"/>
      <x:c r="B164" s="300"/>
      <x:c r="C164" s="300"/>
      <x:c r="D164" s="300"/>
      <x:c r="E164" s="300"/>
      <x:c r="F164" s="300"/>
      <x:c r="G164" s="300"/>
      <x:c r="H164" s="300"/>
      <x:c r="I164" s="300"/>
      <x:c r="J164" s="300"/>
      <x:c r="K164" s="300"/>
      <x:c r="L164" s="300"/>
      <x:c r="M164" s="300"/>
      <x:c r="N164" s="300"/>
    </x:row>
    <x:row r="165" ht="22" customHeight="1">
      <x:c r="A165" s="300"/>
      <x:c r="B165" s="300"/>
      <x:c r="C165" s="300"/>
      <x:c r="D165" s="300"/>
      <x:c r="E165" s="300"/>
      <x:c r="F165" s="300"/>
      <x:c r="G165" s="300"/>
      <x:c r="H165" s="300"/>
      <x:c r="I165" s="300"/>
      <x:c r="J165" s="300"/>
      <x:c r="K165" s="300"/>
      <x:c r="L165" s="300"/>
      <x:c r="M165" s="300"/>
      <x:c r="N165" s="300"/>
    </x:row>
    <x:row r="166" ht="22" customHeight="1">
      <x:c r="A166" s="300"/>
      <x:c r="B166" s="300"/>
      <x:c r="C166" s="300"/>
      <x:c r="D166" s="300"/>
      <x:c r="E166" s="300"/>
      <x:c r="F166" s="300"/>
      <x:c r="G166" s="300"/>
      <x:c r="H166" s="300"/>
      <x:c r="I166" s="300"/>
      <x:c r="J166" s="300"/>
      <x:c r="K166" s="300"/>
      <x:c r="L166" s="300"/>
      <x:c r="M166" s="300"/>
      <x:c r="N166" s="300"/>
    </x:row>
    <x:row r="167" ht="22" customHeight="1">
      <x:c r="A167" s="300"/>
      <x:c r="B167" s="300"/>
      <x:c r="C167" s="300"/>
      <x:c r="D167" s="300"/>
      <x:c r="E167" s="300"/>
      <x:c r="F167" s="300"/>
      <x:c r="G167" s="300"/>
      <x:c r="H167" s="300"/>
      <x:c r="I167" s="300"/>
      <x:c r="J167" s="300"/>
      <x:c r="K167" s="300"/>
      <x:c r="L167" s="300"/>
      <x:c r="M167" s="300"/>
      <x:c r="N167" s="300"/>
    </x:row>
    <x:row r="168" ht="22" customHeight="1">
      <x:c r="A168" s="300"/>
      <x:c r="B168" s="300"/>
      <x:c r="C168" s="300"/>
      <x:c r="D168" s="300"/>
      <x:c r="E168" s="300"/>
      <x:c r="F168" s="300"/>
      <x:c r="G168" s="300"/>
      <x:c r="H168" s="300"/>
      <x:c r="I168" s="300"/>
      <x:c r="J168" s="300"/>
      <x:c r="K168" s="300"/>
      <x:c r="L168" s="300"/>
      <x:c r="M168" s="300"/>
      <x:c r="N168" s="300"/>
    </x:row>
    <x:row r="169" ht="22" customHeight="1">
      <x:c r="A169" s="300"/>
      <x:c r="B169" s="300"/>
      <x:c r="C169" s="300"/>
      <x:c r="D169" s="300"/>
      <x:c r="E169" s="300"/>
      <x:c r="F169" s="300"/>
      <x:c r="G169" s="300"/>
      <x:c r="H169" s="300"/>
      <x:c r="I169" s="300"/>
      <x:c r="J169" s="300"/>
      <x:c r="K169" s="300"/>
      <x:c r="L169" s="300"/>
      <x:c r="M169" s="300"/>
      <x:c r="N169" s="300"/>
    </x:row>
    <x:row r="170" ht="22" customHeight="1">
      <x:c r="A170" s="300"/>
      <x:c r="B170" s="300"/>
      <x:c r="C170" s="300"/>
      <x:c r="D170" s="300"/>
      <x:c r="E170" s="300"/>
      <x:c r="F170" s="300"/>
      <x:c r="G170" s="300"/>
      <x:c r="H170" s="300"/>
      <x:c r="I170" s="300"/>
      <x:c r="J170" s="300"/>
      <x:c r="K170" s="300"/>
      <x:c r="L170" s="300"/>
      <x:c r="M170" s="300"/>
      <x:c r="N170" s="300"/>
    </x:row>
    <x:row r="171" ht="22" customHeight="1">
      <x:c r="A171" s="300"/>
      <x:c r="B171" s="300"/>
      <x:c r="C171" s="300"/>
      <x:c r="D171" s="300"/>
      <x:c r="E171" s="300"/>
      <x:c r="F171" s="300"/>
      <x:c r="G171" s="300"/>
      <x:c r="H171" s="300"/>
      <x:c r="I171" s="300"/>
      <x:c r="J171" s="300"/>
      <x:c r="K171" s="300"/>
      <x:c r="L171" s="300"/>
      <x:c r="M171" s="300"/>
      <x:c r="N171" s="300"/>
    </x:row>
    <x:row r="172" ht="22" customHeight="1">
      <x:c r="A172" s="300"/>
      <x:c r="B172" s="300"/>
      <x:c r="C172" s="300"/>
      <x:c r="D172" s="300"/>
      <x:c r="E172" s="300"/>
      <x:c r="F172" s="300"/>
      <x:c r="G172" s="300"/>
      <x:c r="H172" s="300"/>
      <x:c r="I172" s="300"/>
      <x:c r="J172" s="300"/>
      <x:c r="K172" s="300"/>
      <x:c r="L172" s="300"/>
      <x:c r="M172" s="300"/>
      <x:c r="N172" s="300"/>
    </x:row>
    <x:row r="173" ht="22" customHeight="1">
      <x:c r="A173" s="300"/>
      <x:c r="B173" s="300"/>
      <x:c r="C173" s="300"/>
      <x:c r="D173" s="300"/>
      <x:c r="E173" s="300"/>
      <x:c r="F173" s="300"/>
      <x:c r="G173" s="300"/>
      <x:c r="H173" s="300"/>
      <x:c r="I173" s="300"/>
      <x:c r="J173" s="300"/>
      <x:c r="K173" s="300"/>
      <x:c r="L173" s="300"/>
      <x:c r="M173" s="300"/>
      <x:c r="N173" s="300"/>
    </x:row>
    <x:row r="174" ht="22" customHeight="1">
      <x:c r="A174" s="300"/>
      <x:c r="B174" s="300"/>
      <x:c r="C174" s="300"/>
      <x:c r="D174" s="300"/>
      <x:c r="E174" s="300"/>
      <x:c r="F174" s="300"/>
      <x:c r="G174" s="300"/>
      <x:c r="H174" s="300"/>
      <x:c r="I174" s="300"/>
      <x:c r="J174" s="300"/>
      <x:c r="K174" s="300"/>
      <x:c r="L174" s="300"/>
      <x:c r="M174" s="300"/>
      <x:c r="N174" s="300"/>
    </x:row>
    <x:row r="175" ht="22" customHeight="1">
      <x:c r="A175" s="300"/>
      <x:c r="B175" s="300"/>
      <x:c r="C175" s="300"/>
      <x:c r="D175" s="300"/>
      <x:c r="E175" s="300"/>
      <x:c r="F175" s="300"/>
      <x:c r="G175" s="300"/>
      <x:c r="H175" s="300"/>
      <x:c r="I175" s="300"/>
      <x:c r="J175" s="300"/>
      <x:c r="K175" s="300"/>
      <x:c r="L175" s="300"/>
      <x:c r="M175" s="300"/>
      <x:c r="N175" s="300"/>
    </x:row>
    <x:row r="176" ht="22" customHeight="1">
      <x:c r="A176" s="300"/>
      <x:c r="B176" s="300"/>
      <x:c r="C176" s="300"/>
      <x:c r="D176" s="300"/>
      <x:c r="E176" s="300"/>
      <x:c r="F176" s="300"/>
      <x:c r="G176" s="300"/>
      <x:c r="H176" s="300"/>
      <x:c r="I176" s="300"/>
      <x:c r="J176" s="300"/>
      <x:c r="K176" s="300"/>
      <x:c r="L176" s="300"/>
      <x:c r="M176" s="300"/>
      <x:c r="N176" s="300"/>
    </x:row>
    <x:row r="177" ht="22" customHeight="1">
      <x:c r="A177" s="300"/>
      <x:c r="B177" s="300"/>
      <x:c r="C177" s="300"/>
      <x:c r="D177" s="300"/>
      <x:c r="E177" s="300"/>
      <x:c r="F177" s="300"/>
      <x:c r="G177" s="300"/>
      <x:c r="H177" s="300"/>
      <x:c r="I177" s="300"/>
      <x:c r="J177" s="300"/>
      <x:c r="K177" s="300"/>
      <x:c r="L177" s="300"/>
      <x:c r="M177" s="300"/>
      <x:c r="N177" s="300"/>
    </x:row>
    <x:row r="178" ht="22" customHeight="1">
      <x:c r="A178" s="300"/>
      <x:c r="B178" s="300"/>
      <x:c r="C178" s="300"/>
      <x:c r="D178" s="300"/>
      <x:c r="E178" s="300"/>
      <x:c r="F178" s="300"/>
      <x:c r="G178" s="300"/>
      <x:c r="H178" s="300"/>
      <x:c r="I178" s="300"/>
      <x:c r="J178" s="300"/>
      <x:c r="K178" s="300"/>
      <x:c r="L178" s="300"/>
      <x:c r="M178" s="300"/>
      <x:c r="N178" s="300"/>
    </x:row>
    <x:row r="179" ht="22" customHeight="1">
      <x:c r="A179" s="300"/>
      <x:c r="B179" s="300"/>
      <x:c r="C179" s="300"/>
      <x:c r="D179" s="300"/>
      <x:c r="E179" s="300"/>
      <x:c r="F179" s="300"/>
      <x:c r="G179" s="300"/>
      <x:c r="H179" s="300"/>
      <x:c r="I179" s="300"/>
      <x:c r="J179" s="300"/>
      <x:c r="K179" s="300"/>
      <x:c r="L179" s="300"/>
      <x:c r="M179" s="300"/>
      <x:c r="N179" s="300"/>
    </x:row>
    <x:row r="180" ht="22" customHeight="1">
      <x:c r="A180" s="300"/>
      <x:c r="B180" s="300"/>
      <x:c r="C180" s="300"/>
      <x:c r="D180" s="300"/>
      <x:c r="E180" s="300"/>
      <x:c r="F180" s="300"/>
      <x:c r="G180" s="300"/>
      <x:c r="H180" s="300"/>
      <x:c r="I180" s="300"/>
      <x:c r="J180" s="300"/>
      <x:c r="K180" s="300"/>
      <x:c r="L180" s="300"/>
      <x:c r="M180" s="300"/>
      <x:c r="N180" s="300"/>
    </x:row>
    <x:row r="181" ht="22" customHeight="1">
      <x:c r="A181" s="300"/>
      <x:c r="B181" s="300"/>
      <x:c r="C181" s="300"/>
      <x:c r="D181" s="300"/>
      <x:c r="E181" s="300"/>
      <x:c r="F181" s="300"/>
      <x:c r="G181" s="300"/>
      <x:c r="H181" s="300"/>
      <x:c r="I181" s="300"/>
      <x:c r="J181" s="300"/>
      <x:c r="K181" s="300"/>
      <x:c r="L181" s="300"/>
      <x:c r="M181" s="300"/>
      <x:c r="N181" s="300"/>
    </x:row>
    <x:row r="182" ht="22" customHeight="1">
      <x:c r="A182" s="300"/>
      <x:c r="B182" s="300"/>
      <x:c r="C182" s="300"/>
      <x:c r="D182" s="300"/>
      <x:c r="E182" s="300"/>
      <x:c r="F182" s="300"/>
      <x:c r="G182" s="300"/>
      <x:c r="H182" s="300"/>
      <x:c r="I182" s="300"/>
      <x:c r="J182" s="300"/>
      <x:c r="K182" s="300"/>
      <x:c r="L182" s="300"/>
      <x:c r="M182" s="300"/>
      <x:c r="N182" s="300"/>
    </x:row>
    <x:row r="183" ht="22" customHeight="1">
      <x:c r="A183" s="300"/>
      <x:c r="B183" s="300"/>
      <x:c r="C183" s="300"/>
      <x:c r="D183" s="300"/>
      <x:c r="E183" s="300"/>
      <x:c r="F183" s="300"/>
      <x:c r="G183" s="300"/>
      <x:c r="H183" s="300"/>
      <x:c r="I183" s="300"/>
      <x:c r="J183" s="300"/>
      <x:c r="K183" s="300"/>
      <x:c r="L183" s="300"/>
      <x:c r="M183" s="300"/>
      <x:c r="N183" s="300"/>
    </x:row>
    <x:row r="184" ht="22" customHeight="1">
      <x:c r="A184" s="300"/>
      <x:c r="B184" s="300"/>
      <x:c r="C184" s="300"/>
      <x:c r="D184" s="300"/>
      <x:c r="E184" s="300"/>
      <x:c r="F184" s="300"/>
      <x:c r="G184" s="300"/>
      <x:c r="H184" s="300"/>
      <x:c r="I184" s="300"/>
      <x:c r="J184" s="300"/>
      <x:c r="K184" s="300"/>
      <x:c r="L184" s="300"/>
      <x:c r="M184" s="300"/>
      <x:c r="N184" s="300"/>
    </x:row>
    <x:row r="185" ht="22" customHeight="1">
      <x:c r="A185" s="300"/>
      <x:c r="B185" s="300"/>
      <x:c r="C185" s="300"/>
      <x:c r="D185" s="300"/>
      <x:c r="E185" s="300"/>
      <x:c r="F185" s="300"/>
      <x:c r="G185" s="300"/>
      <x:c r="H185" s="300"/>
      <x:c r="I185" s="300"/>
      <x:c r="J185" s="300"/>
      <x:c r="K185" s="300"/>
      <x:c r="L185" s="300"/>
      <x:c r="M185" s="300"/>
      <x:c r="N185" s="300"/>
    </x:row>
    <x:row r="186" ht="22" customHeight="1">
      <x:c r="A186" s="300"/>
      <x:c r="B186" s="300"/>
      <x:c r="C186" s="300"/>
      <x:c r="D186" s="300"/>
      <x:c r="E186" s="300"/>
      <x:c r="F186" s="300"/>
      <x:c r="G186" s="300"/>
      <x:c r="H186" s="300"/>
      <x:c r="I186" s="300"/>
      <x:c r="J186" s="300"/>
      <x:c r="K186" s="300"/>
      <x:c r="L186" s="300"/>
      <x:c r="M186" s="300"/>
      <x:c r="N186" s="300"/>
    </x:row>
    <x:row r="187" ht="22" customHeight="1">
      <x:c r="A187" s="300"/>
      <x:c r="B187" s="300"/>
      <x:c r="C187" s="300"/>
      <x:c r="D187" s="300"/>
      <x:c r="E187" s="300"/>
      <x:c r="F187" s="300"/>
      <x:c r="G187" s="300"/>
      <x:c r="H187" s="300"/>
      <x:c r="I187" s="300"/>
      <x:c r="J187" s="300"/>
      <x:c r="K187" s="300"/>
      <x:c r="L187" s="300"/>
      <x:c r="M187" s="300"/>
      <x:c r="N187" s="300"/>
    </x:row>
    <x:row r="188" ht="22" customHeight="1">
      <x:c r="A188" s="300"/>
      <x:c r="B188" s="300"/>
      <x:c r="C188" s="300"/>
      <x:c r="D188" s="300"/>
      <x:c r="E188" s="300"/>
      <x:c r="F188" s="300"/>
      <x:c r="G188" s="300"/>
      <x:c r="H188" s="300"/>
      <x:c r="I188" s="300"/>
      <x:c r="J188" s="300"/>
      <x:c r="K188" s="300"/>
      <x:c r="L188" s="300"/>
      <x:c r="M188" s="300"/>
      <x:c r="N188" s="300"/>
    </x:row>
    <x:row r="189" ht="22" customHeight="1">
      <x:c r="A189" s="300"/>
      <x:c r="B189" s="300"/>
      <x:c r="C189" s="300"/>
      <x:c r="D189" s="300"/>
      <x:c r="E189" s="300"/>
      <x:c r="F189" s="300"/>
      <x:c r="G189" s="300"/>
      <x:c r="H189" s="300"/>
      <x:c r="I189" s="300"/>
      <x:c r="J189" s="300"/>
      <x:c r="K189" s="300"/>
      <x:c r="L189" s="300"/>
      <x:c r="M189" s="300"/>
      <x:c r="N189" s="300"/>
    </x:row>
    <x:row r="190" ht="22" customHeight="1">
      <x:c r="A190" s="300"/>
      <x:c r="B190" s="300"/>
      <x:c r="C190" s="300"/>
      <x:c r="D190" s="300"/>
      <x:c r="E190" s="300"/>
      <x:c r="F190" s="300"/>
      <x:c r="G190" s="300"/>
      <x:c r="H190" s="300"/>
      <x:c r="I190" s="300"/>
      <x:c r="J190" s="300"/>
      <x:c r="K190" s="300"/>
      <x:c r="L190" s="300"/>
      <x:c r="M190" s="300"/>
      <x:c r="N190" s="300"/>
    </x:row>
    <x:row r="191" ht="22" customHeight="1">
      <x:c r="A191" s="300"/>
      <x:c r="B191" s="300"/>
      <x:c r="C191" s="300"/>
      <x:c r="D191" s="300"/>
      <x:c r="E191" s="300"/>
      <x:c r="F191" s="300"/>
      <x:c r="G191" s="300"/>
      <x:c r="H191" s="300"/>
      <x:c r="I191" s="300"/>
      <x:c r="J191" s="300"/>
      <x:c r="K191" s="300"/>
      <x:c r="L191" s="300"/>
      <x:c r="M191" s="300"/>
      <x:c r="N191" s="300"/>
    </x:row>
    <x:row r="192" ht="22" customHeight="1">
      <x:c r="A192" s="300"/>
      <x:c r="B192" s="300"/>
      <x:c r="C192" s="300"/>
      <x:c r="D192" s="300"/>
      <x:c r="E192" s="300"/>
      <x:c r="F192" s="300"/>
      <x:c r="G192" s="300"/>
      <x:c r="H192" s="300"/>
      <x:c r="I192" s="300"/>
      <x:c r="J192" s="300"/>
      <x:c r="K192" s="300"/>
      <x:c r="L192" s="300"/>
      <x:c r="M192" s="300"/>
      <x:c r="N192" s="300"/>
    </x:row>
    <x:row r="193" ht="22" customHeight="1">
      <x:c r="A193" s="300"/>
      <x:c r="B193" s="300"/>
      <x:c r="C193" s="300"/>
      <x:c r="D193" s="300"/>
      <x:c r="E193" s="300"/>
      <x:c r="F193" s="300"/>
      <x:c r="G193" s="300"/>
      <x:c r="H193" s="300"/>
      <x:c r="I193" s="300"/>
      <x:c r="J193" s="300"/>
      <x:c r="K193" s="300"/>
      <x:c r="L193" s="300"/>
      <x:c r="M193" s="300"/>
      <x:c r="N193" s="300"/>
    </x:row>
    <x:row r="194" ht="22" customHeight="1">
      <x:c r="A194" s="300"/>
      <x:c r="B194" s="300"/>
      <x:c r="C194" s="300"/>
      <x:c r="D194" s="300"/>
      <x:c r="E194" s="300"/>
      <x:c r="F194" s="300"/>
      <x:c r="G194" s="300"/>
      <x:c r="H194" s="300"/>
      <x:c r="I194" s="300"/>
      <x:c r="J194" s="300"/>
      <x:c r="K194" s="300"/>
      <x:c r="L194" s="300"/>
      <x:c r="M194" s="300"/>
      <x:c r="N194" s="300"/>
    </x:row>
    <x:row r="195" ht="22" customHeight="1">
      <x:c r="A195" s="300"/>
      <x:c r="B195" s="300"/>
      <x:c r="C195" s="300"/>
      <x:c r="D195" s="300"/>
      <x:c r="E195" s="300"/>
      <x:c r="F195" s="300"/>
      <x:c r="G195" s="300"/>
      <x:c r="H195" s="300"/>
      <x:c r="I195" s="300"/>
      <x:c r="J195" s="300"/>
      <x:c r="K195" s="300"/>
      <x:c r="L195" s="300"/>
      <x:c r="M195" s="300"/>
      <x:c r="N195" s="300"/>
    </x:row>
    <x:row r="196" ht="22" customHeight="1">
      <x:c r="A196" s="300"/>
      <x:c r="B196" s="300"/>
      <x:c r="C196" s="300"/>
      <x:c r="D196" s="300"/>
      <x:c r="E196" s="300"/>
      <x:c r="F196" s="300"/>
      <x:c r="G196" s="300"/>
      <x:c r="H196" s="300"/>
      <x:c r="I196" s="300"/>
      <x:c r="J196" s="300"/>
      <x:c r="K196" s="300"/>
      <x:c r="L196" s="300"/>
      <x:c r="M196" s="300"/>
      <x:c r="N196" s="300"/>
    </x:row>
    <x:row r="197" ht="22" customHeight="1">
      <x:c r="A197" s="300"/>
      <x:c r="B197" s="300"/>
      <x:c r="C197" s="300"/>
      <x:c r="D197" s="300"/>
      <x:c r="E197" s="300"/>
      <x:c r="F197" s="300"/>
      <x:c r="G197" s="300"/>
      <x:c r="H197" s="300"/>
      <x:c r="I197" s="300"/>
      <x:c r="J197" s="300"/>
      <x:c r="K197" s="300"/>
      <x:c r="L197" s="300"/>
      <x:c r="M197" s="300"/>
      <x:c r="N197" s="300"/>
    </x:row>
    <x:row r="198" ht="22" customHeight="1">
      <x:c r="A198" s="300"/>
      <x:c r="B198" s="300"/>
      <x:c r="C198" s="300"/>
      <x:c r="D198" s="300"/>
      <x:c r="E198" s="300"/>
      <x:c r="F198" s="300"/>
      <x:c r="G198" s="300"/>
      <x:c r="H198" s="300"/>
      <x:c r="I198" s="300"/>
      <x:c r="J198" s="300"/>
      <x:c r="K198" s="300"/>
      <x:c r="L198" s="300"/>
      <x:c r="M198" s="300"/>
      <x:c r="N198" s="300"/>
    </x:row>
    <x:row r="199" ht="22" customHeight="1">
      <x:c r="A199" s="300"/>
      <x:c r="B199" s="300"/>
      <x:c r="C199" s="300"/>
      <x:c r="D199" s="300"/>
      <x:c r="E199" s="300"/>
      <x:c r="F199" s="300"/>
      <x:c r="G199" s="300"/>
      <x:c r="H199" s="300"/>
      <x:c r="I199" s="300"/>
      <x:c r="J199" s="300"/>
      <x:c r="K199" s="300"/>
      <x:c r="L199" s="300"/>
      <x:c r="M199" s="300"/>
      <x:c r="N199" s="300"/>
    </x:row>
    <x:row r="200" ht="22" customHeight="1">
      <x:c r="A200" s="300"/>
      <x:c r="B200" s="300"/>
      <x:c r="C200" s="300"/>
      <x:c r="D200" s="300"/>
      <x:c r="E200" s="300"/>
      <x:c r="F200" s="300"/>
      <x:c r="G200" s="300"/>
      <x:c r="H200" s="300"/>
      <x:c r="I200" s="300"/>
      <x:c r="J200" s="300"/>
      <x:c r="K200" s="300"/>
      <x:c r="L200" s="300"/>
      <x:c r="M200" s="300"/>
      <x:c r="N200" s="300"/>
    </x:row>
    <x:row r="201" ht="22" customHeight="1">
      <x:c r="A201" s="300"/>
      <x:c r="B201" s="300"/>
      <x:c r="C201" s="300"/>
      <x:c r="D201" s="300"/>
      <x:c r="E201" s="300"/>
      <x:c r="F201" s="300"/>
      <x:c r="G201" s="300"/>
      <x:c r="H201" s="300"/>
      <x:c r="I201" s="300"/>
      <x:c r="J201" s="300"/>
      <x:c r="K201" s="300"/>
      <x:c r="L201" s="300"/>
      <x:c r="M201" s="300"/>
      <x:c r="N201" s="300"/>
    </x:row>
    <x:row r="202" ht="22" customHeight="1">
      <x:c r="A202" s="300"/>
      <x:c r="B202" s="300"/>
      <x:c r="C202" s="300"/>
      <x:c r="D202" s="300"/>
      <x:c r="E202" s="300"/>
      <x:c r="F202" s="300"/>
      <x:c r="G202" s="300"/>
      <x:c r="H202" s="300"/>
      <x:c r="I202" s="300"/>
      <x:c r="J202" s="300"/>
      <x:c r="K202" s="300"/>
      <x:c r="L202" s="300"/>
      <x:c r="M202" s="300"/>
      <x:c r="N202" s="300"/>
    </x:row>
    <x:row r="203" ht="22" customHeight="1">
      <x:c r="A203" s="300"/>
      <x:c r="B203" s="300"/>
      <x:c r="C203" s="300"/>
      <x:c r="D203" s="300"/>
      <x:c r="E203" s="300"/>
      <x:c r="F203" s="300"/>
      <x:c r="G203" s="300"/>
      <x:c r="H203" s="300"/>
      <x:c r="I203" s="300"/>
      <x:c r="J203" s="300"/>
      <x:c r="K203" s="300"/>
      <x:c r="L203" s="300"/>
      <x:c r="M203" s="300"/>
      <x:c r="N203" s="300"/>
    </x:row>
    <x:row r="204" ht="22" customHeight="1">
      <x:c r="A204" s="300"/>
      <x:c r="B204" s="300"/>
      <x:c r="C204" s="300"/>
      <x:c r="D204" s="300"/>
      <x:c r="E204" s="300"/>
      <x:c r="F204" s="300"/>
      <x:c r="G204" s="300"/>
      <x:c r="H204" s="300"/>
      <x:c r="I204" s="300"/>
      <x:c r="J204" s="300"/>
      <x:c r="K204" s="300"/>
      <x:c r="L204" s="300"/>
      <x:c r="M204" s="300"/>
      <x:c r="N204" s="300"/>
    </x:row>
    <x:row r="205" ht="22" customHeight="1">
      <x:c r="A205" s="300"/>
      <x:c r="B205" s="300"/>
      <x:c r="C205" s="300"/>
      <x:c r="D205" s="300"/>
      <x:c r="E205" s="300"/>
      <x:c r="F205" s="300"/>
      <x:c r="G205" s="300"/>
      <x:c r="H205" s="300"/>
      <x:c r="I205" s="300"/>
      <x:c r="J205" s="300"/>
      <x:c r="K205" s="300"/>
      <x:c r="L205" s="300"/>
      <x:c r="M205" s="300"/>
      <x:c r="N205" s="300"/>
    </x:row>
    <x:row r="206" ht="22" customHeight="1">
      <x:c r="A206" s="300"/>
      <x:c r="B206" s="300"/>
      <x:c r="C206" s="300"/>
      <x:c r="D206" s="300"/>
      <x:c r="E206" s="300"/>
      <x:c r="F206" s="300"/>
      <x:c r="G206" s="300"/>
      <x:c r="H206" s="300"/>
      <x:c r="I206" s="300"/>
      <x:c r="J206" s="300"/>
      <x:c r="K206" s="300"/>
      <x:c r="L206" s="300"/>
      <x:c r="M206" s="300"/>
      <x:c r="N206" s="300"/>
    </x:row>
    <x:row r="207" ht="22" customHeight="1">
      <x:c r="A207" s="300"/>
      <x:c r="B207" s="300"/>
      <x:c r="C207" s="300"/>
      <x:c r="D207" s="300"/>
      <x:c r="E207" s="300"/>
      <x:c r="F207" s="300"/>
      <x:c r="G207" s="300"/>
      <x:c r="H207" s="300"/>
      <x:c r="I207" s="300"/>
      <x:c r="J207" s="300"/>
      <x:c r="K207" s="300"/>
      <x:c r="L207" s="300"/>
      <x:c r="M207" s="300"/>
      <x:c r="N207" s="300"/>
    </x:row>
    <x:row r="208" ht="22" customHeight="1">
      <x:c r="A208" s="300"/>
      <x:c r="B208" s="300"/>
      <x:c r="C208" s="300"/>
      <x:c r="D208" s="300"/>
      <x:c r="E208" s="300"/>
      <x:c r="F208" s="300"/>
      <x:c r="G208" s="300"/>
      <x:c r="H208" s="300"/>
      <x:c r="I208" s="300"/>
      <x:c r="J208" s="300"/>
      <x:c r="K208" s="300"/>
      <x:c r="L208" s="300"/>
      <x:c r="M208" s="300"/>
      <x:c r="N208" s="300"/>
    </x:row>
    <x:row r="209" ht="22" customHeight="1">
      <x:c r="A209" s="300"/>
      <x:c r="B209" s="300"/>
      <x:c r="C209" s="300"/>
      <x:c r="D209" s="300"/>
      <x:c r="E209" s="300"/>
      <x:c r="F209" s="300"/>
      <x:c r="G209" s="300"/>
      <x:c r="H209" s="300"/>
      <x:c r="I209" s="300"/>
      <x:c r="J209" s="300"/>
      <x:c r="K209" s="300"/>
      <x:c r="L209" s="300"/>
      <x:c r="M209" s="300"/>
      <x:c r="N209" s="300"/>
    </x:row>
    <x:row r="210" ht="22" customHeight="1">
      <x:c r="A210" s="300"/>
      <x:c r="B210" s="300"/>
      <x:c r="C210" s="300"/>
      <x:c r="D210" s="300"/>
      <x:c r="E210" s="300"/>
      <x:c r="F210" s="300"/>
      <x:c r="G210" s="300"/>
      <x:c r="H210" s="300"/>
      <x:c r="I210" s="300"/>
      <x:c r="J210" s="300"/>
      <x:c r="K210" s="300"/>
      <x:c r="L210" s="300"/>
      <x:c r="M210" s="300"/>
      <x:c r="N210" s="300"/>
    </x:row>
    <x:row r="211" ht="22" customHeight="1">
      <x:c r="A211" s="300"/>
      <x:c r="B211" s="300"/>
      <x:c r="C211" s="300"/>
      <x:c r="D211" s="300"/>
      <x:c r="E211" s="300"/>
      <x:c r="F211" s="300"/>
      <x:c r="G211" s="300"/>
      <x:c r="H211" s="300"/>
      <x:c r="I211" s="300"/>
      <x:c r="J211" s="300"/>
      <x:c r="K211" s="300"/>
      <x:c r="L211" s="300"/>
      <x:c r="M211" s="300"/>
      <x:c r="N211" s="300"/>
    </x:row>
    <x:row r="212" ht="22" customHeight="1">
      <x:c r="A212" s="300"/>
      <x:c r="B212" s="300"/>
      <x:c r="C212" s="300"/>
      <x:c r="D212" s="300"/>
      <x:c r="E212" s="300"/>
      <x:c r="F212" s="300"/>
      <x:c r="G212" s="300"/>
      <x:c r="H212" s="300"/>
      <x:c r="I212" s="300"/>
      <x:c r="J212" s="300"/>
      <x:c r="K212" s="300"/>
      <x:c r="L212" s="300"/>
      <x:c r="M212" s="300"/>
      <x:c r="N212" s="300"/>
    </x:row>
    <x:row r="213" ht="22" customHeight="1">
      <x:c r="A213" s="300"/>
      <x:c r="B213" s="300"/>
      <x:c r="C213" s="300"/>
      <x:c r="D213" s="300"/>
      <x:c r="E213" s="300"/>
      <x:c r="F213" s="300"/>
      <x:c r="G213" s="300"/>
      <x:c r="H213" s="300"/>
      <x:c r="I213" s="300"/>
      <x:c r="J213" s="300"/>
      <x:c r="K213" s="300"/>
      <x:c r="L213" s="300"/>
      <x:c r="M213" s="300"/>
      <x:c r="N213" s="300"/>
    </x:row>
    <x:row r="214" ht="22" customHeight="1">
      <x:c r="A214" s="300"/>
      <x:c r="B214" s="300"/>
      <x:c r="C214" s="300"/>
      <x:c r="D214" s="300"/>
      <x:c r="E214" s="300"/>
      <x:c r="F214" s="300"/>
      <x:c r="G214" s="300"/>
      <x:c r="H214" s="300"/>
      <x:c r="I214" s="300"/>
      <x:c r="J214" s="300"/>
      <x:c r="K214" s="300"/>
      <x:c r="L214" s="300"/>
      <x:c r="M214" s="300"/>
      <x:c r="N214" s="300"/>
    </x:row>
    <x:row r="215" ht="22" customHeight="1">
      <x:c r="A215" s="300"/>
      <x:c r="B215" s="300"/>
      <x:c r="C215" s="300"/>
      <x:c r="D215" s="300"/>
      <x:c r="E215" s="300"/>
      <x:c r="F215" s="300"/>
      <x:c r="G215" s="300"/>
      <x:c r="H215" s="300"/>
      <x:c r="I215" s="300"/>
      <x:c r="J215" s="300"/>
      <x:c r="K215" s="300"/>
      <x:c r="L215" s="300"/>
      <x:c r="M215" s="300"/>
      <x:c r="N215" s="300"/>
    </x:row>
    <x:row r="216" ht="22" customHeight="1">
      <x:c r="A216" s="300"/>
      <x:c r="B216" s="300"/>
      <x:c r="C216" s="300"/>
      <x:c r="D216" s="300"/>
      <x:c r="E216" s="300"/>
      <x:c r="F216" s="300"/>
      <x:c r="G216" s="300"/>
      <x:c r="H216" s="300"/>
      <x:c r="I216" s="300"/>
      <x:c r="J216" s="300"/>
      <x:c r="K216" s="300"/>
      <x:c r="L216" s="300"/>
      <x:c r="M216" s="300"/>
      <x:c r="N216" s="300"/>
    </x:row>
    <x:row r="217" ht="22" customHeight="1">
      <x:c r="A217" s="300"/>
      <x:c r="B217" s="300"/>
      <x:c r="C217" s="300"/>
      <x:c r="D217" s="300"/>
      <x:c r="E217" s="300"/>
      <x:c r="F217" s="300"/>
      <x:c r="G217" s="300"/>
      <x:c r="H217" s="300"/>
      <x:c r="I217" s="300"/>
      <x:c r="J217" s="300"/>
      <x:c r="K217" s="300"/>
      <x:c r="L217" s="300"/>
      <x:c r="M217" s="300"/>
      <x:c r="N217" s="300"/>
    </x:row>
    <x:row r="218" ht="22" customHeight="1">
      <x:c r="A218" s="300"/>
      <x:c r="B218" s="300"/>
      <x:c r="C218" s="300"/>
      <x:c r="D218" s="300"/>
      <x:c r="E218" s="300"/>
      <x:c r="F218" s="300"/>
      <x:c r="G218" s="300"/>
      <x:c r="H218" s="300"/>
      <x:c r="I218" s="300"/>
      <x:c r="J218" s="300"/>
      <x:c r="K218" s="300"/>
      <x:c r="L218" s="300"/>
      <x:c r="M218" s="300"/>
      <x:c r="N218" s="300"/>
    </x:row>
    <x:row r="219" ht="22" customHeight="1">
      <x:c r="A219" s="300"/>
      <x:c r="B219" s="300"/>
      <x:c r="C219" s="300"/>
      <x:c r="D219" s="300"/>
      <x:c r="E219" s="300"/>
      <x:c r="F219" s="300"/>
      <x:c r="G219" s="300"/>
      <x:c r="H219" s="300"/>
      <x:c r="I219" s="300"/>
      <x:c r="J219" s="300"/>
      <x:c r="K219" s="300"/>
      <x:c r="L219" s="300"/>
      <x:c r="M219" s="300"/>
      <x:c r="N219" s="300"/>
    </x:row>
    <x:row r="220" ht="22" customHeight="1">
      <x:c r="A220" s="300"/>
      <x:c r="B220" s="300"/>
      <x:c r="C220" s="300"/>
      <x:c r="D220" s="300"/>
      <x:c r="E220" s="300"/>
      <x:c r="F220" s="300"/>
      <x:c r="G220" s="300"/>
      <x:c r="H220" s="300"/>
      <x:c r="I220" s="300"/>
      <x:c r="J220" s="300"/>
      <x:c r="K220" s="300"/>
      <x:c r="L220" s="300"/>
      <x:c r="M220" s="300"/>
      <x:c r="N220" s="300"/>
    </x:row>
    <x:row r="221" ht="22" customHeight="1">
      <x:c r="A221" s="300"/>
      <x:c r="B221" s="300"/>
      <x:c r="C221" s="300"/>
      <x:c r="D221" s="300"/>
      <x:c r="E221" s="300"/>
      <x:c r="F221" s="300"/>
      <x:c r="G221" s="300"/>
      <x:c r="H221" s="300"/>
      <x:c r="I221" s="300"/>
      <x:c r="J221" s="300"/>
      <x:c r="K221" s="300"/>
      <x:c r="L221" s="300"/>
      <x:c r="M221" s="300"/>
      <x:c r="N221" s="300"/>
    </x:row>
    <x:row r="222" ht="22" customHeight="1">
      <x:c r="A222" s="300"/>
      <x:c r="B222" s="300"/>
      <x:c r="C222" s="300"/>
      <x:c r="D222" s="300"/>
      <x:c r="E222" s="300"/>
      <x:c r="F222" s="300"/>
      <x:c r="G222" s="300"/>
      <x:c r="H222" s="300"/>
      <x:c r="I222" s="300"/>
      <x:c r="J222" s="300"/>
      <x:c r="K222" s="300"/>
      <x:c r="L222" s="300"/>
      <x:c r="M222" s="300"/>
      <x:c r="N222" s="300"/>
    </x:row>
    <x:row r="223" ht="22" customHeight="1">
      <x:c r="A223" s="300"/>
      <x:c r="B223" s="300"/>
      <x:c r="C223" s="300"/>
      <x:c r="D223" s="300"/>
      <x:c r="E223" s="300"/>
      <x:c r="F223" s="300"/>
      <x:c r="G223" s="300"/>
      <x:c r="H223" s="300"/>
      <x:c r="I223" s="300"/>
      <x:c r="J223" s="300"/>
      <x:c r="K223" s="300"/>
      <x:c r="L223" s="300"/>
      <x:c r="M223" s="300"/>
      <x:c r="N223" s="300"/>
    </x:row>
    <x:row r="224" ht="22" customHeight="1">
      <x:c r="A224" s="300"/>
      <x:c r="B224" s="300"/>
      <x:c r="C224" s="300"/>
      <x:c r="D224" s="300"/>
      <x:c r="E224" s="300"/>
      <x:c r="F224" s="300"/>
      <x:c r="G224" s="300"/>
      <x:c r="H224" s="300"/>
      <x:c r="I224" s="300"/>
      <x:c r="J224" s="300"/>
      <x:c r="K224" s="300"/>
      <x:c r="L224" s="300"/>
      <x:c r="M224" s="300"/>
      <x:c r="N224" s="300"/>
    </x:row>
    <x:row r="225" ht="22" customHeight="1">
      <x:c r="A225" s="300"/>
      <x:c r="B225" s="300"/>
      <x:c r="C225" s="300"/>
      <x:c r="D225" s="300"/>
      <x:c r="E225" s="300"/>
      <x:c r="F225" s="300"/>
      <x:c r="G225" s="300"/>
      <x:c r="H225" s="300"/>
      <x:c r="I225" s="300"/>
      <x:c r="J225" s="300"/>
      <x:c r="K225" s="300"/>
      <x:c r="L225" s="300"/>
      <x:c r="M225" s="300"/>
      <x:c r="N225" s="300"/>
    </x:row>
    <x:row r="226" ht="22" customHeight="1">
      <x:c r="A226" s="300"/>
      <x:c r="B226" s="300"/>
      <x:c r="C226" s="300"/>
      <x:c r="D226" s="300"/>
      <x:c r="E226" s="300"/>
      <x:c r="F226" s="300"/>
      <x:c r="G226" s="300"/>
      <x:c r="H226" s="300"/>
      <x:c r="I226" s="300"/>
      <x:c r="J226" s="300"/>
      <x:c r="K226" s="300"/>
      <x:c r="L226" s="300"/>
      <x:c r="M226" s="300"/>
      <x:c r="N226" s="300"/>
    </x:row>
    <x:row r="227" ht="22" customHeight="1">
      <x:c r="A227" s="300"/>
      <x:c r="B227" s="300"/>
      <x:c r="C227" s="300"/>
      <x:c r="D227" s="300"/>
      <x:c r="E227" s="300"/>
      <x:c r="F227" s="300"/>
      <x:c r="G227" s="300"/>
      <x:c r="H227" s="300"/>
      <x:c r="I227" s="300"/>
      <x:c r="J227" s="300"/>
      <x:c r="K227" s="300"/>
      <x:c r="L227" s="300"/>
      <x:c r="M227" s="300"/>
      <x:c r="N227" s="300"/>
    </x:row>
    <x:row r="228" ht="22" customHeight="1">
      <x:c r="A228" s="300"/>
      <x:c r="B228" s="300"/>
      <x:c r="C228" s="300"/>
      <x:c r="D228" s="300"/>
      <x:c r="E228" s="300"/>
      <x:c r="F228" s="300"/>
      <x:c r="G228" s="300"/>
      <x:c r="H228" s="300"/>
      <x:c r="I228" s="300"/>
      <x:c r="J228" s="300"/>
      <x:c r="K228" s="300"/>
      <x:c r="L228" s="300"/>
      <x:c r="M228" s="300"/>
      <x:c r="N228" s="300"/>
    </x:row>
    <x:row r="229" ht="22" customHeight="1">
      <x:c r="A229" s="300"/>
      <x:c r="B229" s="300"/>
      <x:c r="C229" s="300"/>
      <x:c r="D229" s="300"/>
      <x:c r="E229" s="300"/>
      <x:c r="F229" s="300"/>
      <x:c r="G229" s="300"/>
      <x:c r="H229" s="300"/>
      <x:c r="I229" s="300"/>
      <x:c r="J229" s="300"/>
      <x:c r="K229" s="300"/>
      <x:c r="L229" s="300"/>
      <x:c r="M229" s="300"/>
      <x:c r="N229" s="300"/>
    </x:row>
    <x:row r="230" ht="22" customHeight="1">
      <x:c r="A230" s="300"/>
      <x:c r="B230" s="300"/>
      <x:c r="C230" s="300"/>
      <x:c r="D230" s="300"/>
      <x:c r="E230" s="300"/>
      <x:c r="F230" s="300"/>
      <x:c r="G230" s="300"/>
      <x:c r="H230" s="300"/>
      <x:c r="I230" s="300"/>
      <x:c r="J230" s="300"/>
      <x:c r="K230" s="300"/>
      <x:c r="L230" s="300"/>
      <x:c r="M230" s="300"/>
      <x:c r="N230" s="300"/>
    </x:row>
    <x:row r="231" ht="22" customHeight="1">
      <x:c r="A231" s="300"/>
      <x:c r="B231" s="300"/>
      <x:c r="C231" s="300"/>
      <x:c r="D231" s="300"/>
      <x:c r="E231" s="300"/>
      <x:c r="F231" s="300"/>
      <x:c r="G231" s="300"/>
      <x:c r="H231" s="300"/>
      <x:c r="I231" s="300"/>
      <x:c r="J231" s="300"/>
      <x:c r="K231" s="300"/>
      <x:c r="L231" s="300"/>
      <x:c r="M231" s="300"/>
      <x:c r="N231" s="300"/>
    </x:row>
    <x:row r="232" ht="22" customHeight="1">
      <x:c r="A232" s="300"/>
      <x:c r="B232" s="300"/>
      <x:c r="C232" s="300"/>
      <x:c r="D232" s="300"/>
      <x:c r="E232" s="300"/>
      <x:c r="F232" s="300"/>
      <x:c r="G232" s="300"/>
      <x:c r="H232" s="300"/>
      <x:c r="I232" s="300"/>
      <x:c r="J232" s="300"/>
      <x:c r="K232" s="300"/>
      <x:c r="L232" s="300"/>
      <x:c r="M232" s="300"/>
      <x:c r="N232" s="300"/>
    </x:row>
    <x:row r="233" ht="22" customHeight="1">
      <x:c r="A233" s="300"/>
      <x:c r="B233" s="300"/>
      <x:c r="C233" s="300"/>
      <x:c r="D233" s="300"/>
      <x:c r="E233" s="300"/>
      <x:c r="F233" s="300"/>
      <x:c r="G233" s="300"/>
      <x:c r="H233" s="300"/>
      <x:c r="I233" s="300"/>
      <x:c r="J233" s="300"/>
      <x:c r="K233" s="300"/>
      <x:c r="L233" s="300"/>
      <x:c r="M233" s="300"/>
      <x:c r="N233" s="300"/>
    </x:row>
    <x:row r="234" ht="22" customHeight="1">
      <x:c r="A234" s="300"/>
      <x:c r="B234" s="300"/>
      <x:c r="C234" s="300"/>
      <x:c r="D234" s="300"/>
      <x:c r="E234" s="300"/>
      <x:c r="F234" s="300"/>
      <x:c r="G234" s="300"/>
      <x:c r="H234" s="300"/>
      <x:c r="I234" s="300"/>
      <x:c r="J234" s="300"/>
      <x:c r="K234" s="300"/>
      <x:c r="L234" s="300"/>
      <x:c r="M234" s="300"/>
      <x:c r="N234" s="300"/>
    </x:row>
    <x:row r="235" ht="22" customHeight="1">
      <x:c r="A235" s="300"/>
      <x:c r="B235" s="300"/>
      <x:c r="C235" s="300"/>
      <x:c r="D235" s="300"/>
      <x:c r="E235" s="300"/>
      <x:c r="F235" s="300"/>
      <x:c r="G235" s="300"/>
      <x:c r="H235" s="300"/>
      <x:c r="I235" s="300"/>
      <x:c r="J235" s="300"/>
      <x:c r="K235" s="300"/>
      <x:c r="L235" s="300"/>
      <x:c r="M235" s="300"/>
      <x:c r="N235" s="300"/>
    </x:row>
    <x:row r="236" ht="22" customHeight="1">
      <x:c r="A236" s="300"/>
      <x:c r="B236" s="300"/>
      <x:c r="C236" s="300"/>
      <x:c r="D236" s="300"/>
      <x:c r="E236" s="300"/>
      <x:c r="F236" s="300"/>
      <x:c r="G236" s="300"/>
      <x:c r="H236" s="300"/>
      <x:c r="I236" s="300"/>
      <x:c r="J236" s="300"/>
      <x:c r="K236" s="300"/>
      <x:c r="L236" s="300"/>
      <x:c r="M236" s="300"/>
      <x:c r="N236" s="300"/>
    </x:row>
    <x:row r="237" ht="22" customHeight="1">
      <x:c r="A237" s="300"/>
      <x:c r="B237" s="300"/>
      <x:c r="C237" s="300"/>
      <x:c r="D237" s="300"/>
      <x:c r="E237" s="300"/>
      <x:c r="F237" s="300"/>
      <x:c r="G237" s="300"/>
      <x:c r="H237" s="300"/>
      <x:c r="I237" s="300"/>
      <x:c r="J237" s="300"/>
      <x:c r="K237" s="300"/>
      <x:c r="L237" s="300"/>
      <x:c r="M237" s="300"/>
      <x:c r="N237" s="300"/>
    </x:row>
    <x:row r="238" ht="22" customHeight="1">
      <x:c r="A238" s="300"/>
      <x:c r="B238" s="300"/>
      <x:c r="C238" s="300"/>
      <x:c r="D238" s="300"/>
      <x:c r="E238" s="300"/>
      <x:c r="F238" s="300"/>
      <x:c r="G238" s="300"/>
      <x:c r="H238" s="300"/>
      <x:c r="I238" s="300"/>
      <x:c r="J238" s="300"/>
      <x:c r="K238" s="300"/>
      <x:c r="L238" s="300"/>
      <x:c r="M238" s="300"/>
      <x:c r="N238" s="300"/>
    </x:row>
    <x:row r="239" ht="22" customHeight="1">
      <x:c r="A239" s="300"/>
      <x:c r="B239" s="300"/>
      <x:c r="C239" s="300"/>
      <x:c r="D239" s="300"/>
      <x:c r="E239" s="300"/>
      <x:c r="F239" s="300"/>
      <x:c r="G239" s="300"/>
      <x:c r="H239" s="300"/>
      <x:c r="I239" s="300"/>
      <x:c r="J239" s="300"/>
      <x:c r="K239" s="300"/>
      <x:c r="L239" s="300"/>
      <x:c r="M239" s="300"/>
      <x:c r="N239" s="300"/>
    </x:row>
    <x:row r="240" ht="22" customHeight="1">
      <x:c r="A240" s="300"/>
      <x:c r="B240" s="300"/>
      <x:c r="C240" s="300"/>
      <x:c r="D240" s="300"/>
      <x:c r="E240" s="300"/>
      <x:c r="F240" s="300"/>
      <x:c r="G240" s="300"/>
      <x:c r="H240" s="300"/>
      <x:c r="I240" s="300"/>
      <x:c r="J240" s="300"/>
      <x:c r="K240" s="300"/>
      <x:c r="L240" s="300"/>
      <x:c r="M240" s="300"/>
      <x:c r="N240" s="300"/>
    </x:row>
    <x:row r="241" ht="22" customHeight="1">
      <x:c r="A241" s="300"/>
      <x:c r="B241" s="300"/>
      <x:c r="C241" s="300"/>
      <x:c r="D241" s="300"/>
      <x:c r="E241" s="300"/>
      <x:c r="F241" s="300"/>
      <x:c r="G241" s="300"/>
      <x:c r="H241" s="300"/>
      <x:c r="I241" s="300"/>
      <x:c r="J241" s="300"/>
      <x:c r="K241" s="300"/>
      <x:c r="L241" s="300"/>
      <x:c r="M241" s="300"/>
      <x:c r="N241" s="300"/>
    </x:row>
    <x:row r="242" ht="22" customHeight="1">
      <x:c r="A242" s="300"/>
      <x:c r="B242" s="300"/>
      <x:c r="C242" s="300"/>
      <x:c r="D242" s="300"/>
      <x:c r="E242" s="300"/>
      <x:c r="F242" s="300"/>
      <x:c r="G242" s="300"/>
      <x:c r="H242" s="300"/>
      <x:c r="I242" s="300"/>
      <x:c r="J242" s="300"/>
      <x:c r="K242" s="300"/>
      <x:c r="L242" s="300"/>
      <x:c r="M242" s="300"/>
      <x:c r="N242" s="300"/>
    </x:row>
    <x:row r="243" ht="22" customHeight="1">
      <x:c r="A243" s="300"/>
      <x:c r="B243" s="300"/>
      <x:c r="C243" s="300"/>
      <x:c r="D243" s="300"/>
      <x:c r="E243" s="300"/>
      <x:c r="F243" s="300"/>
      <x:c r="G243" s="300"/>
      <x:c r="H243" s="300"/>
      <x:c r="I243" s="300"/>
      <x:c r="J243" s="300"/>
      <x:c r="K243" s="300"/>
      <x:c r="L243" s="300"/>
      <x:c r="M243" s="300"/>
      <x:c r="N243" s="300"/>
    </x:row>
    <x:row r="244" ht="22" customHeight="1">
      <x:c r="A244" s="300"/>
      <x:c r="B244" s="300"/>
      <x:c r="C244" s="300"/>
      <x:c r="D244" s="300"/>
      <x:c r="E244" s="300"/>
      <x:c r="F244" s="300"/>
      <x:c r="G244" s="300"/>
      <x:c r="H244" s="300"/>
      <x:c r="I244" s="300"/>
      <x:c r="J244" s="300"/>
      <x:c r="K244" s="300"/>
      <x:c r="L244" s="300"/>
      <x:c r="M244" s="300"/>
      <x:c r="N244" s="300"/>
    </x:row>
    <x:row r="245" ht="22" customHeight="1">
      <x:c r="A245" s="300"/>
      <x:c r="B245" s="300"/>
      <x:c r="C245" s="300"/>
      <x:c r="D245" s="300"/>
      <x:c r="E245" s="300"/>
      <x:c r="F245" s="300"/>
      <x:c r="G245" s="300"/>
      <x:c r="H245" s="300"/>
      <x:c r="I245" s="300"/>
      <x:c r="J245" s="300"/>
      <x:c r="K245" s="300"/>
      <x:c r="L245" s="300"/>
      <x:c r="M245" s="300"/>
      <x:c r="N245" s="300"/>
    </x:row>
    <x:row r="246" ht="22" customHeight="1">
      <x:c r="A246" s="300"/>
      <x:c r="B246" s="300"/>
      <x:c r="C246" s="300"/>
      <x:c r="D246" s="300"/>
      <x:c r="E246" s="300"/>
      <x:c r="F246" s="300"/>
      <x:c r="G246" s="300"/>
      <x:c r="H246" s="300"/>
      <x:c r="I246" s="300"/>
      <x:c r="J246" s="300"/>
      <x:c r="K246" s="300"/>
      <x:c r="L246" s="300"/>
      <x:c r="M246" s="300"/>
      <x:c r="N246" s="300"/>
    </x:row>
    <x:row r="247" ht="22" customHeight="1">
      <x:c r="A247" s="300"/>
      <x:c r="B247" s="300"/>
      <x:c r="C247" s="300"/>
      <x:c r="D247" s="300"/>
      <x:c r="E247" s="300"/>
      <x:c r="F247" s="300"/>
      <x:c r="G247" s="300"/>
      <x:c r="H247" s="300"/>
      <x:c r="I247" s="300"/>
      <x:c r="J247" s="300"/>
      <x:c r="K247" s="300"/>
      <x:c r="L247" s="300"/>
      <x:c r="M247" s="300"/>
      <x:c r="N247" s="300"/>
    </x:row>
    <x:row r="248" ht="22" customHeight="1">
      <x:c r="A248" s="300"/>
      <x:c r="B248" s="300"/>
      <x:c r="C248" s="300"/>
      <x:c r="D248" s="300"/>
      <x:c r="E248" s="300"/>
      <x:c r="F248" s="300"/>
      <x:c r="G248" s="300"/>
      <x:c r="H248" s="300"/>
      <x:c r="I248" s="300"/>
      <x:c r="J248" s="300"/>
      <x:c r="K248" s="300"/>
      <x:c r="L248" s="300"/>
      <x:c r="M248" s="300"/>
      <x:c r="N248" s="300"/>
    </x:row>
    <x:row r="249" ht="22" customHeight="1">
      <x:c r="A249" s="300"/>
      <x:c r="B249" s="300"/>
      <x:c r="C249" s="300"/>
      <x:c r="D249" s="300"/>
      <x:c r="E249" s="300"/>
      <x:c r="F249" s="300"/>
      <x:c r="G249" s="300"/>
      <x:c r="H249" s="300"/>
      <x:c r="I249" s="300"/>
      <x:c r="J249" s="300"/>
      <x:c r="K249" s="300"/>
      <x:c r="L249" s="300"/>
      <x:c r="M249" s="300"/>
      <x:c r="N249" s="300"/>
    </x:row>
    <x:row r="250" ht="22" customHeight="1">
      <x:c r="A250" s="300"/>
      <x:c r="B250" s="300"/>
      <x:c r="C250" s="300"/>
      <x:c r="D250" s="300"/>
      <x:c r="E250" s="300"/>
      <x:c r="F250" s="300"/>
      <x:c r="G250" s="300"/>
      <x:c r="H250" s="300"/>
      <x:c r="I250" s="300"/>
      <x:c r="J250" s="300"/>
      <x:c r="K250" s="300"/>
      <x:c r="L250" s="300"/>
      <x:c r="M250" s="300"/>
      <x:c r="N250" s="300"/>
    </x:row>
    <x:row r="251" ht="22" customHeight="1">
      <x:c r="A251" s="300"/>
      <x:c r="B251" s="300"/>
      <x:c r="C251" s="300"/>
      <x:c r="D251" s="300"/>
      <x:c r="E251" s="300"/>
      <x:c r="F251" s="300"/>
      <x:c r="G251" s="300"/>
      <x:c r="H251" s="300"/>
      <x:c r="I251" s="300"/>
      <x:c r="J251" s="300"/>
      <x:c r="K251" s="300"/>
      <x:c r="L251" s="300"/>
      <x:c r="M251" s="300"/>
      <x:c r="N251" s="300"/>
    </x:row>
    <x:row r="252" ht="22" customHeight="1">
      <x:c r="A252" s="300"/>
      <x:c r="B252" s="300"/>
      <x:c r="C252" s="300"/>
      <x:c r="D252" s="300"/>
      <x:c r="E252" s="300"/>
      <x:c r="F252" s="300"/>
      <x:c r="G252" s="300"/>
      <x:c r="H252" s="300"/>
      <x:c r="I252" s="300"/>
      <x:c r="J252" s="300"/>
      <x:c r="K252" s="300"/>
      <x:c r="L252" s="300"/>
      <x:c r="M252" s="300"/>
      <x:c r="N252" s="300"/>
    </x:row>
    <x:row r="253" ht="22" customHeight="1">
      <x:c r="A253" s="300"/>
      <x:c r="B253" s="300"/>
      <x:c r="C253" s="300"/>
      <x:c r="D253" s="300"/>
      <x:c r="E253" s="300"/>
      <x:c r="F253" s="300"/>
      <x:c r="G253" s="300"/>
      <x:c r="H253" s="300"/>
      <x:c r="I253" s="300"/>
      <x:c r="J253" s="300"/>
      <x:c r="K253" s="300"/>
      <x:c r="L253" s="300"/>
      <x:c r="M253" s="300"/>
      <x:c r="N253" s="300"/>
    </x:row>
    <x:row r="254" ht="22" customHeight="1">
      <x:c r="A254" s="300"/>
      <x:c r="B254" s="300"/>
      <x:c r="C254" s="300"/>
      <x:c r="D254" s="300"/>
      <x:c r="E254" s="300"/>
      <x:c r="F254" s="300"/>
      <x:c r="G254" s="300"/>
      <x:c r="H254" s="300"/>
      <x:c r="I254" s="300"/>
      <x:c r="J254" s="300"/>
      <x:c r="K254" s="300"/>
      <x:c r="L254" s="300"/>
      <x:c r="M254" s="300"/>
      <x:c r="N254" s="300"/>
    </x:row>
    <x:row r="255" ht="22" customHeight="1">
      <x:c r="A255" s="300"/>
      <x:c r="B255" s="300"/>
      <x:c r="C255" s="300"/>
      <x:c r="D255" s="300"/>
      <x:c r="E255" s="300"/>
      <x:c r="F255" s="300"/>
      <x:c r="G255" s="300"/>
      <x:c r="H255" s="300"/>
      <x:c r="I255" s="300"/>
      <x:c r="J255" s="300"/>
      <x:c r="K255" s="300"/>
      <x:c r="L255" s="300"/>
      <x:c r="M255" s="300"/>
      <x:c r="N255" s="300"/>
    </x:row>
    <x:row r="256" ht="22" customHeight="1">
      <x:c r="A256" s="300"/>
      <x:c r="B256" s="300"/>
      <x:c r="C256" s="300"/>
      <x:c r="D256" s="300"/>
      <x:c r="E256" s="300"/>
      <x:c r="F256" s="300"/>
      <x:c r="G256" s="300"/>
      <x:c r="H256" s="300"/>
      <x:c r="I256" s="300"/>
      <x:c r="J256" s="300"/>
      <x:c r="K256" s="300"/>
      <x:c r="L256" s="300"/>
      <x:c r="M256" s="300"/>
      <x:c r="N256" s="300"/>
    </x:row>
    <x:row r="257" ht="22" customHeight="1">
      <x:c r="A257" s="300"/>
      <x:c r="B257" s="300"/>
      <x:c r="C257" s="300"/>
      <x:c r="D257" s="300"/>
      <x:c r="E257" s="300"/>
      <x:c r="F257" s="300"/>
      <x:c r="G257" s="300"/>
      <x:c r="H257" s="300"/>
      <x:c r="I257" s="300"/>
      <x:c r="J257" s="300"/>
      <x:c r="K257" s="300"/>
      <x:c r="L257" s="300"/>
      <x:c r="M257" s="300"/>
      <x:c r="N257" s="300"/>
    </x:row>
    <x:row r="258" ht="22" customHeight="1">
      <x:c r="A258" s="300"/>
      <x:c r="B258" s="300"/>
      <x:c r="C258" s="300"/>
      <x:c r="D258" s="300"/>
      <x:c r="E258" s="300"/>
      <x:c r="F258" s="300"/>
      <x:c r="G258" s="300"/>
      <x:c r="H258" s="300"/>
      <x:c r="I258" s="300"/>
      <x:c r="J258" s="300"/>
      <x:c r="K258" s="300"/>
      <x:c r="L258" s="300"/>
      <x:c r="M258" s="300"/>
      <x:c r="N258" s="300"/>
    </x:row>
    <x:row r="259" ht="22" customHeight="1">
      <x:c r="A259" s="300"/>
      <x:c r="B259" s="300"/>
      <x:c r="C259" s="300"/>
      <x:c r="D259" s="300"/>
      <x:c r="E259" s="300"/>
      <x:c r="F259" s="300"/>
      <x:c r="G259" s="300"/>
      <x:c r="H259" s="300"/>
      <x:c r="I259" s="300"/>
      <x:c r="J259" s="300"/>
      <x:c r="K259" s="300"/>
      <x:c r="L259" s="300"/>
      <x:c r="M259" s="300"/>
      <x:c r="N259" s="300"/>
    </x:row>
    <x:row r="260" ht="22" customHeight="1">
      <x:c r="A260" s="300"/>
      <x:c r="B260" s="300"/>
      <x:c r="C260" s="300"/>
      <x:c r="D260" s="300"/>
      <x:c r="E260" s="300"/>
      <x:c r="F260" s="300"/>
      <x:c r="G260" s="300"/>
      <x:c r="H260" s="300"/>
      <x:c r="I260" s="300"/>
      <x:c r="J260" s="300"/>
      <x:c r="K260" s="300"/>
      <x:c r="L260" s="300"/>
      <x:c r="M260" s="300"/>
      <x:c r="N260" s="300"/>
    </x:row>
    <x:row r="261" ht="22" customHeight="1">
      <x:c r="A261" s="300"/>
      <x:c r="B261" s="300"/>
      <x:c r="C261" s="300"/>
      <x:c r="D261" s="300"/>
      <x:c r="E261" s="300"/>
      <x:c r="F261" s="300"/>
      <x:c r="G261" s="300"/>
      <x:c r="H261" s="300"/>
      <x:c r="I261" s="300"/>
      <x:c r="J261" s="300"/>
      <x:c r="K261" s="300"/>
      <x:c r="L261" s="300"/>
      <x:c r="M261" s="300"/>
      <x:c r="N261" s="300"/>
    </x:row>
    <x:row r="262" ht="22" customHeight="1">
      <x:c r="A262" s="300"/>
      <x:c r="B262" s="300"/>
      <x:c r="C262" s="300"/>
      <x:c r="D262" s="300"/>
      <x:c r="E262" s="300"/>
      <x:c r="F262" s="300"/>
      <x:c r="G262" s="300"/>
      <x:c r="H262" s="300"/>
      <x:c r="I262" s="300"/>
      <x:c r="J262" s="300"/>
      <x:c r="K262" s="300"/>
      <x:c r="L262" s="300"/>
      <x:c r="M262" s="300"/>
      <x:c r="N262" s="300"/>
    </x:row>
    <x:row r="263" ht="22" customHeight="1">
      <x:c r="A263" s="300"/>
      <x:c r="B263" s="300"/>
      <x:c r="C263" s="300"/>
      <x:c r="D263" s="300"/>
      <x:c r="E263" s="300"/>
      <x:c r="F263" s="300"/>
      <x:c r="G263" s="300"/>
      <x:c r="H263" s="300"/>
      <x:c r="I263" s="300"/>
      <x:c r="J263" s="300"/>
      <x:c r="K263" s="300"/>
      <x:c r="L263" s="300"/>
      <x:c r="M263" s="300"/>
      <x:c r="N263" s="300"/>
    </x:row>
    <x:row r="264" ht="22" customHeight="1">
      <x:c r="A264" s="300"/>
      <x:c r="B264" s="300"/>
      <x:c r="C264" s="300"/>
      <x:c r="D264" s="300"/>
      <x:c r="E264" s="300"/>
      <x:c r="F264" s="300"/>
      <x:c r="G264" s="300"/>
      <x:c r="H264" s="300"/>
      <x:c r="I264" s="300"/>
      <x:c r="J264" s="300"/>
      <x:c r="K264" s="300"/>
      <x:c r="L264" s="300"/>
      <x:c r="M264" s="300"/>
      <x:c r="N264" s="300"/>
    </x:row>
    <x:row r="265" ht="22" customHeight="1">
      <x:c r="A265" s="300"/>
      <x:c r="B265" s="300"/>
      <x:c r="C265" s="300"/>
      <x:c r="D265" s="300"/>
      <x:c r="E265" s="300"/>
      <x:c r="F265" s="300"/>
      <x:c r="G265" s="300"/>
      <x:c r="H265" s="300"/>
      <x:c r="I265" s="300"/>
      <x:c r="J265" s="300"/>
      <x:c r="K265" s="300"/>
      <x:c r="L265" s="300"/>
      <x:c r="M265" s="300"/>
      <x:c r="N265" s="300"/>
    </x:row>
    <x:row r="266" ht="22" customHeight="1">
      <x:c r="A266" s="300"/>
      <x:c r="B266" s="300"/>
      <x:c r="C266" s="300"/>
      <x:c r="D266" s="300"/>
      <x:c r="E266" s="300"/>
      <x:c r="F266" s="300"/>
      <x:c r="G266" s="300"/>
      <x:c r="H266" s="300"/>
      <x:c r="I266" s="300"/>
      <x:c r="J266" s="300"/>
      <x:c r="K266" s="300"/>
      <x:c r="L266" s="300"/>
      <x:c r="M266" s="300"/>
      <x:c r="N266" s="300"/>
    </x:row>
    <x:row r="267" ht="22" customHeight="1">
      <x:c r="A267" s="300"/>
      <x:c r="B267" s="300"/>
      <x:c r="C267" s="300"/>
      <x:c r="D267" s="300"/>
      <x:c r="E267" s="300"/>
      <x:c r="F267" s="300"/>
      <x:c r="G267" s="300"/>
      <x:c r="H267" s="300"/>
      <x:c r="I267" s="300"/>
      <x:c r="J267" s="300"/>
      <x:c r="K267" s="300"/>
      <x:c r="L267" s="300"/>
      <x:c r="M267" s="300"/>
      <x:c r="N267" s="300"/>
    </x:row>
    <x:row r="268" ht="22" customHeight="1">
      <x:c r="A268" s="300"/>
      <x:c r="B268" s="300"/>
      <x:c r="C268" s="300"/>
      <x:c r="D268" s="300"/>
      <x:c r="E268" s="300"/>
      <x:c r="F268" s="300"/>
      <x:c r="G268" s="300"/>
      <x:c r="H268" s="300"/>
      <x:c r="I268" s="300"/>
      <x:c r="J268" s="300"/>
      <x:c r="K268" s="300"/>
      <x:c r="L268" s="300"/>
      <x:c r="M268" s="300"/>
      <x:c r="N268" s="300"/>
    </x:row>
    <x:row r="269" ht="22" customHeight="1">
      <x:c r="A269" s="300"/>
      <x:c r="B269" s="300"/>
      <x:c r="C269" s="300"/>
      <x:c r="D269" s="300"/>
      <x:c r="E269" s="300"/>
      <x:c r="F269" s="300"/>
      <x:c r="G269" s="300"/>
      <x:c r="H269" s="300"/>
      <x:c r="I269" s="300"/>
      <x:c r="J269" s="300"/>
      <x:c r="K269" s="300"/>
      <x:c r="L269" s="300"/>
      <x:c r="M269" s="300"/>
      <x:c r="N269" s="300"/>
    </x:row>
    <x:row r="270" ht="22" customHeight="1">
      <x:c r="A270" s="300"/>
      <x:c r="B270" s="300"/>
      <x:c r="C270" s="300"/>
      <x:c r="D270" s="300"/>
      <x:c r="E270" s="300"/>
      <x:c r="F270" s="300"/>
      <x:c r="G270" s="300"/>
      <x:c r="H270" s="300"/>
      <x:c r="I270" s="300"/>
      <x:c r="J270" s="300"/>
      <x:c r="K270" s="300"/>
      <x:c r="L270" s="300"/>
      <x:c r="M270" s="300"/>
      <x:c r="N270" s="300"/>
    </x:row>
    <x:row r="271" ht="22" customHeight="1">
      <x:c r="A271" s="300"/>
      <x:c r="B271" s="300"/>
      <x:c r="C271" s="300"/>
      <x:c r="D271" s="300"/>
      <x:c r="E271" s="300"/>
      <x:c r="F271" s="300"/>
      <x:c r="G271" s="300"/>
      <x:c r="H271" s="300"/>
      <x:c r="I271" s="300"/>
      <x:c r="J271" s="300"/>
      <x:c r="K271" s="300"/>
      <x:c r="L271" s="300"/>
      <x:c r="M271" s="300"/>
      <x:c r="N271" s="300"/>
    </x:row>
    <x:row r="272" ht="22" customHeight="1">
      <x:c r="A272" s="300"/>
      <x:c r="B272" s="300"/>
      <x:c r="C272" s="300"/>
      <x:c r="D272" s="300"/>
      <x:c r="E272" s="300"/>
      <x:c r="F272" s="300"/>
      <x:c r="G272" s="300"/>
      <x:c r="H272" s="300"/>
      <x:c r="I272" s="300"/>
      <x:c r="J272" s="300"/>
      <x:c r="K272" s="300"/>
      <x:c r="L272" s="300"/>
      <x:c r="M272" s="300"/>
      <x:c r="N272" s="300"/>
    </x:row>
    <x:row r="273" ht="22" customHeight="1">
      <x:c r="A273" s="300"/>
      <x:c r="B273" s="300"/>
      <x:c r="C273" s="300"/>
      <x:c r="D273" s="300"/>
      <x:c r="E273" s="300"/>
      <x:c r="F273" s="300"/>
      <x:c r="G273" s="300"/>
      <x:c r="H273" s="300"/>
      <x:c r="I273" s="300"/>
      <x:c r="J273" s="300"/>
      <x:c r="K273" s="300"/>
      <x:c r="L273" s="300"/>
      <x:c r="M273" s="300"/>
      <x:c r="N273" s="300"/>
    </x:row>
    <x:row r="274" ht="22" customHeight="1">
      <x:c r="A274" s="300"/>
      <x:c r="B274" s="300"/>
      <x:c r="C274" s="300"/>
      <x:c r="D274" s="300"/>
      <x:c r="E274" s="300"/>
      <x:c r="F274" s="300"/>
      <x:c r="G274" s="300"/>
      <x:c r="H274" s="300"/>
      <x:c r="I274" s="300"/>
      <x:c r="J274" s="300"/>
      <x:c r="K274" s="300"/>
      <x:c r="L274" s="300"/>
      <x:c r="M274" s="300"/>
      <x:c r="N274" s="300"/>
    </x:row>
    <x:row r="275" ht="22" customHeight="1">
      <x:c r="A275" s="300"/>
      <x:c r="B275" s="300"/>
      <x:c r="C275" s="300"/>
      <x:c r="D275" s="300"/>
      <x:c r="E275" s="300"/>
      <x:c r="F275" s="300"/>
      <x:c r="G275" s="300"/>
      <x:c r="H275" s="300"/>
      <x:c r="I275" s="300"/>
      <x:c r="J275" s="300"/>
      <x:c r="K275" s="300"/>
      <x:c r="L275" s="300"/>
      <x:c r="M275" s="300"/>
      <x:c r="N275" s="300"/>
    </x:row>
    <x:row r="276" ht="22" customHeight="1">
      <x:c r="A276" s="300"/>
      <x:c r="B276" s="300"/>
      <x:c r="C276" s="300"/>
      <x:c r="D276" s="300"/>
      <x:c r="E276" s="300"/>
      <x:c r="F276" s="300"/>
      <x:c r="G276" s="300"/>
      <x:c r="H276" s="300"/>
      <x:c r="I276" s="300"/>
      <x:c r="J276" s="300"/>
      <x:c r="K276" s="300"/>
      <x:c r="L276" s="300"/>
      <x:c r="M276" s="300"/>
      <x:c r="N276" s="300"/>
    </x:row>
    <x:row r="277" ht="22" customHeight="1">
      <x:c r="A277" s="300"/>
      <x:c r="B277" s="300"/>
      <x:c r="C277" s="300"/>
      <x:c r="D277" s="300"/>
      <x:c r="E277" s="300"/>
      <x:c r="F277" s="300"/>
      <x:c r="G277" s="300"/>
      <x:c r="H277" s="300"/>
      <x:c r="I277" s="300"/>
      <x:c r="J277" s="300"/>
      <x:c r="K277" s="300"/>
      <x:c r="L277" s="300"/>
      <x:c r="M277" s="300"/>
      <x:c r="N277" s="300"/>
    </x:row>
    <x:row r="278" ht="22" customHeight="1">
      <x:c r="A278" s="300"/>
      <x:c r="B278" s="300"/>
      <x:c r="C278" s="300"/>
      <x:c r="D278" s="300"/>
      <x:c r="E278" s="300"/>
      <x:c r="F278" s="300"/>
      <x:c r="G278" s="300"/>
      <x:c r="H278" s="300"/>
      <x:c r="I278" s="300"/>
      <x:c r="J278" s="300"/>
      <x:c r="K278" s="300"/>
      <x:c r="L278" s="300"/>
      <x:c r="M278" s="300"/>
      <x:c r="N278" s="300"/>
    </x:row>
    <x:row r="279" ht="22" customHeight="1">
      <x:c r="A279" s="300"/>
      <x:c r="B279" s="300"/>
      <x:c r="C279" s="300"/>
      <x:c r="D279" s="300"/>
      <x:c r="E279" s="300"/>
      <x:c r="F279" s="300"/>
      <x:c r="G279" s="300"/>
      <x:c r="H279" s="300"/>
      <x:c r="I279" s="300"/>
      <x:c r="J279" s="300"/>
      <x:c r="K279" s="300"/>
      <x:c r="L279" s="300"/>
      <x:c r="M279" s="300"/>
      <x:c r="N279" s="300"/>
    </x:row>
    <x:row r="280" ht="22" customHeight="1">
      <x:c r="A280" s="300"/>
      <x:c r="B280" s="300"/>
      <x:c r="C280" s="300"/>
      <x:c r="D280" s="300"/>
      <x:c r="E280" s="300"/>
      <x:c r="F280" s="300"/>
      <x:c r="G280" s="300"/>
      <x:c r="H280" s="300"/>
      <x:c r="I280" s="300"/>
      <x:c r="J280" s="300"/>
      <x:c r="K280" s="300"/>
      <x:c r="L280" s="300"/>
      <x:c r="M280" s="300"/>
      <x:c r="N280" s="300"/>
    </x:row>
    <x:row r="281" ht="22" customHeight="1">
      <x:c r="A281" s="300"/>
      <x:c r="B281" s="300"/>
      <x:c r="C281" s="300"/>
      <x:c r="D281" s="300"/>
      <x:c r="E281" s="300"/>
      <x:c r="F281" s="300"/>
      <x:c r="G281" s="300"/>
      <x:c r="H281" s="300"/>
      <x:c r="I281" s="300"/>
      <x:c r="J281" s="300"/>
      <x:c r="K281" s="300"/>
      <x:c r="L281" s="300"/>
      <x:c r="M281" s="300"/>
      <x:c r="N281" s="300"/>
    </x:row>
    <x:row r="282" ht="22" customHeight="1">
      <x:c r="A282" s="300"/>
      <x:c r="B282" s="300"/>
      <x:c r="C282" s="300"/>
      <x:c r="D282" s="300"/>
      <x:c r="E282" s="300"/>
      <x:c r="F282" s="300"/>
      <x:c r="G282" s="300"/>
      <x:c r="H282" s="300"/>
      <x:c r="I282" s="300"/>
      <x:c r="J282" s="300"/>
      <x:c r="K282" s="300"/>
      <x:c r="L282" s="300"/>
      <x:c r="M282" s="300"/>
      <x:c r="N282" s="300"/>
    </x:row>
    <x:row r="283" ht="22" customHeight="1">
      <x:c r="A283" s="300"/>
      <x:c r="B283" s="300"/>
      <x:c r="C283" s="300"/>
      <x:c r="D283" s="300"/>
      <x:c r="E283" s="300"/>
      <x:c r="F283" s="300"/>
      <x:c r="G283" s="300"/>
      <x:c r="H283" s="300"/>
      <x:c r="I283" s="300"/>
      <x:c r="J283" s="300"/>
      <x:c r="K283" s="300"/>
      <x:c r="L283" s="300"/>
      <x:c r="M283" s="300"/>
      <x:c r="N283" s="300"/>
    </x:row>
    <x:row r="284" ht="22" customHeight="1">
      <x:c r="A284" s="300"/>
      <x:c r="B284" s="300"/>
      <x:c r="C284" s="300"/>
      <x:c r="D284" s="300"/>
      <x:c r="E284" s="300"/>
      <x:c r="F284" s="300"/>
      <x:c r="G284" s="300"/>
      <x:c r="H284" s="300"/>
      <x:c r="I284" s="300"/>
      <x:c r="J284" s="300"/>
      <x:c r="K284" s="300"/>
      <x:c r="L284" s="300"/>
      <x:c r="M284" s="300"/>
      <x:c r="N284" s="300"/>
    </x:row>
    <x:row r="285" ht="22" customHeight="1">
      <x:c r="A285" s="300"/>
      <x:c r="B285" s="300"/>
      <x:c r="C285" s="300"/>
      <x:c r="D285" s="300"/>
      <x:c r="E285" s="300"/>
      <x:c r="F285" s="300"/>
      <x:c r="G285" s="300"/>
      <x:c r="H285" s="300"/>
      <x:c r="I285" s="300"/>
      <x:c r="J285" s="300"/>
      <x:c r="K285" s="300"/>
      <x:c r="L285" s="300"/>
      <x:c r="M285" s="300"/>
      <x:c r="N285" s="300"/>
    </x:row>
    <x:row r="286" ht="22" customHeight="1">
      <x:c r="A286" s="300"/>
      <x:c r="B286" s="300"/>
      <x:c r="C286" s="300"/>
      <x:c r="D286" s="300"/>
      <x:c r="E286" s="300"/>
      <x:c r="F286" s="300"/>
      <x:c r="G286" s="300"/>
      <x:c r="H286" s="300"/>
      <x:c r="I286" s="300"/>
      <x:c r="J286" s="300"/>
      <x:c r="K286" s="300"/>
      <x:c r="L286" s="300"/>
      <x:c r="M286" s="300"/>
      <x:c r="N286" s="300"/>
    </x:row>
    <x:row r="287" ht="22" customHeight="1">
      <x:c r="A287" s="300"/>
      <x:c r="B287" s="300"/>
      <x:c r="C287" s="300"/>
      <x:c r="D287" s="300"/>
      <x:c r="E287" s="300"/>
      <x:c r="F287" s="300"/>
      <x:c r="G287" s="300"/>
      <x:c r="H287" s="300"/>
      <x:c r="I287" s="300"/>
      <x:c r="J287" s="300"/>
      <x:c r="K287" s="300"/>
      <x:c r="L287" s="300"/>
      <x:c r="M287" s="300"/>
      <x:c r="N287" s="300"/>
    </x:row>
    <x:row r="288" ht="22" customHeight="1">
      <x:c r="A288" s="300"/>
      <x:c r="B288" s="300"/>
      <x:c r="C288" s="300"/>
      <x:c r="D288" s="300"/>
      <x:c r="E288" s="300"/>
      <x:c r="F288" s="300"/>
      <x:c r="G288" s="300"/>
      <x:c r="H288" s="300"/>
      <x:c r="I288" s="300"/>
      <x:c r="J288" s="300"/>
      <x:c r="K288" s="300"/>
      <x:c r="L288" s="300"/>
      <x:c r="M288" s="300"/>
      <x:c r="N288" s="300"/>
    </x:row>
    <x:row r="289" ht="22" customHeight="1">
      <x:c r="A289" s="300"/>
      <x:c r="B289" s="300"/>
      <x:c r="C289" s="300"/>
      <x:c r="D289" s="300"/>
      <x:c r="E289" s="300"/>
      <x:c r="F289" s="300"/>
      <x:c r="G289" s="300"/>
      <x:c r="H289" s="300"/>
      <x:c r="I289" s="300"/>
      <x:c r="J289" s="300"/>
      <x:c r="K289" s="300"/>
      <x:c r="L289" s="300"/>
      <x:c r="M289" s="300"/>
      <x:c r="N289" s="300"/>
    </x:row>
    <x:row r="290" ht="22" customHeight="1">
      <x:c r="A290" s="300"/>
      <x:c r="B290" s="300"/>
      <x:c r="C290" s="300"/>
      <x:c r="D290" s="300"/>
      <x:c r="E290" s="300"/>
      <x:c r="F290" s="300"/>
      <x:c r="G290" s="300"/>
      <x:c r="H290" s="300"/>
      <x:c r="I290" s="300"/>
      <x:c r="J290" s="300"/>
      <x:c r="K290" s="300"/>
      <x:c r="L290" s="300"/>
      <x:c r="M290" s="300"/>
      <x:c r="N290" s="300"/>
    </x:row>
    <x:row r="291" ht="22" customHeight="1">
      <x:c r="A291" s="300"/>
      <x:c r="B291" s="300"/>
      <x:c r="C291" s="300"/>
      <x:c r="D291" s="300"/>
      <x:c r="E291" s="300"/>
      <x:c r="F291" s="300"/>
      <x:c r="G291" s="300"/>
      <x:c r="H291" s="300"/>
      <x:c r="I291" s="300"/>
      <x:c r="J291" s="300"/>
      <x:c r="K291" s="300"/>
      <x:c r="L291" s="300"/>
      <x:c r="M291" s="300"/>
      <x:c r="N291" s="300"/>
    </x:row>
    <x:row r="292" ht="22" customHeight="1">
      <x:c r="A292" s="300"/>
      <x:c r="B292" s="300"/>
      <x:c r="C292" s="300"/>
      <x:c r="D292" s="300"/>
      <x:c r="E292" s="300"/>
      <x:c r="F292" s="300"/>
      <x:c r="G292" s="300"/>
      <x:c r="H292" s="300"/>
      <x:c r="I292" s="300"/>
      <x:c r="J292" s="300"/>
      <x:c r="K292" s="300"/>
      <x:c r="L292" s="300"/>
      <x:c r="M292" s="300"/>
      <x:c r="N292" s="300"/>
    </x:row>
    <x:row r="293" ht="22" customHeight="1">
      <x:c r="A293" s="300"/>
      <x:c r="B293" s="300"/>
      <x:c r="C293" s="300"/>
      <x:c r="D293" s="300"/>
      <x:c r="E293" s="300"/>
      <x:c r="F293" s="300"/>
      <x:c r="G293" s="300"/>
      <x:c r="H293" s="300"/>
      <x:c r="I293" s="300"/>
      <x:c r="J293" s="300"/>
      <x:c r="K293" s="300"/>
      <x:c r="L293" s="300"/>
      <x:c r="M293" s="300"/>
      <x:c r="N293" s="300"/>
    </x:row>
    <x:row r="294" ht="22" customHeight="1">
      <x:c r="A294" s="300"/>
      <x:c r="B294" s="300"/>
      <x:c r="C294" s="300"/>
      <x:c r="D294" s="300"/>
      <x:c r="E294" s="300"/>
      <x:c r="F294" s="300"/>
      <x:c r="G294" s="300"/>
      <x:c r="H294" s="300"/>
      <x:c r="I294" s="300"/>
      <x:c r="J294" s="300"/>
      <x:c r="K294" s="300"/>
      <x:c r="L294" s="300"/>
      <x:c r="M294" s="300"/>
      <x:c r="N294" s="300"/>
    </x:row>
    <x:row r="295" ht="22" customHeight="1">
      <x:c r="A295" s="300"/>
      <x:c r="B295" s="300"/>
      <x:c r="C295" s="300"/>
      <x:c r="D295" s="300"/>
      <x:c r="E295" s="300"/>
      <x:c r="F295" s="300"/>
      <x:c r="G295" s="300"/>
      <x:c r="H295" s="300"/>
      <x:c r="I295" s="300"/>
      <x:c r="J295" s="300"/>
      <x:c r="K295" s="300"/>
      <x:c r="L295" s="300"/>
      <x:c r="M295" s="300"/>
      <x:c r="N295" s="300"/>
    </x:row>
    <x:row r="296" ht="22" customHeight="1">
      <x:c r="A296" s="300"/>
      <x:c r="B296" s="300"/>
      <x:c r="C296" s="300"/>
      <x:c r="D296" s="300"/>
      <x:c r="E296" s="300"/>
      <x:c r="F296" s="300"/>
      <x:c r="G296" s="300"/>
      <x:c r="H296" s="300"/>
      <x:c r="I296" s="300"/>
      <x:c r="J296" s="300"/>
      <x:c r="K296" s="300"/>
      <x:c r="L296" s="300"/>
      <x:c r="M296" s="300"/>
      <x:c r="N296" s="300"/>
    </x:row>
    <x:row r="297" ht="22" customHeight="1">
      <x:c r="A297" s="300"/>
      <x:c r="B297" s="300"/>
      <x:c r="C297" s="300"/>
      <x:c r="D297" s="300"/>
      <x:c r="E297" s="300"/>
      <x:c r="F297" s="300"/>
      <x:c r="G297" s="300"/>
      <x:c r="H297" s="300"/>
      <x:c r="I297" s="300"/>
      <x:c r="J297" s="300"/>
      <x:c r="K297" s="300"/>
      <x:c r="L297" s="300"/>
      <x:c r="M297" s="300"/>
      <x:c r="N297" s="300"/>
    </x:row>
    <x:row r="298" ht="22" customHeight="1">
      <x:c r="A298" s="300"/>
      <x:c r="B298" s="300"/>
      <x:c r="C298" s="300"/>
      <x:c r="D298" s="300"/>
      <x:c r="E298" s="300"/>
      <x:c r="F298" s="300"/>
      <x:c r="G298" s="300"/>
      <x:c r="H298" s="300"/>
      <x:c r="I298" s="300"/>
      <x:c r="J298" s="300"/>
      <x:c r="K298" s="300"/>
      <x:c r="L298" s="300"/>
      <x:c r="M298" s="300"/>
      <x:c r="N298" s="300"/>
    </x:row>
    <x:row r="299" ht="22" customHeight="1">
      <x:c r="A299" s="300"/>
      <x:c r="B299" s="300"/>
      <x:c r="C299" s="300"/>
      <x:c r="D299" s="300"/>
      <x:c r="E299" s="300"/>
      <x:c r="F299" s="300"/>
      <x:c r="G299" s="300"/>
      <x:c r="H299" s="300"/>
      <x:c r="I299" s="300"/>
      <x:c r="J299" s="300"/>
      <x:c r="K299" s="300"/>
      <x:c r="L299" s="300"/>
      <x:c r="M299" s="300"/>
      <x:c r="N299" s="300"/>
    </x:row>
    <x:row r="300" ht="22" customHeight="1">
      <x:c r="A300" s="300"/>
      <x:c r="B300" s="300"/>
      <x:c r="C300" s="300"/>
      <x:c r="D300" s="300"/>
      <x:c r="E300" s="300"/>
      <x:c r="F300" s="300"/>
      <x:c r="G300" s="300"/>
      <x:c r="H300" s="300"/>
      <x:c r="I300" s="300"/>
      <x:c r="J300" s="300"/>
      <x:c r="K300" s="300"/>
      <x:c r="L300" s="300"/>
      <x:c r="M300" s="300"/>
      <x:c r="N300" s="300"/>
    </x:row>
    <x:row r="301" ht="22" customHeight="1">
      <x:c r="A301" s="300"/>
      <x:c r="B301" s="300"/>
      <x:c r="C301" s="300"/>
      <x:c r="D301" s="300"/>
      <x:c r="E301" s="300"/>
      <x:c r="F301" s="300"/>
      <x:c r="G301" s="300"/>
      <x:c r="H301" s="300"/>
      <x:c r="I301" s="300"/>
      <x:c r="J301" s="300"/>
      <x:c r="K301" s="300"/>
      <x:c r="L301" s="300"/>
      <x:c r="M301" s="300"/>
      <x:c r="N301" s="300"/>
    </x:row>
    <x:row r="302" ht="22" customHeight="1">
      <x:c r="A302" s="300"/>
      <x:c r="B302" s="300"/>
      <x:c r="C302" s="300"/>
      <x:c r="D302" s="300"/>
      <x:c r="E302" s="300"/>
      <x:c r="F302" s="300"/>
      <x:c r="G302" s="300"/>
      <x:c r="H302" s="300"/>
      <x:c r="I302" s="300"/>
      <x:c r="J302" s="300"/>
      <x:c r="K302" s="300"/>
      <x:c r="L302" s="300"/>
      <x:c r="M302" s="300"/>
      <x:c r="N302" s="300"/>
    </x:row>
    <x:row r="303" ht="22" customHeight="1">
      <x:c r="A303" s="300"/>
      <x:c r="B303" s="300"/>
      <x:c r="C303" s="300"/>
      <x:c r="D303" s="300"/>
      <x:c r="E303" s="300"/>
      <x:c r="F303" s="300"/>
      <x:c r="G303" s="300"/>
      <x:c r="H303" s="300"/>
      <x:c r="I303" s="300"/>
      <x:c r="J303" s="300"/>
      <x:c r="K303" s="300"/>
      <x:c r="L303" s="300"/>
      <x:c r="M303" s="300"/>
      <x:c r="N303" s="300"/>
    </x:row>
    <x:row r="304" ht="22" customHeight="1">
      <x:c r="A304" s="300"/>
      <x:c r="B304" s="300"/>
      <x:c r="C304" s="300"/>
      <x:c r="D304" s="300"/>
      <x:c r="E304" s="300"/>
      <x:c r="F304" s="300"/>
      <x:c r="G304" s="300"/>
      <x:c r="H304" s="300"/>
      <x:c r="I304" s="300"/>
      <x:c r="J304" s="300"/>
      <x:c r="K304" s="300"/>
      <x:c r="L304" s="300"/>
      <x:c r="M304" s="300"/>
      <x:c r="N304" s="300"/>
    </x:row>
    <x:row r="305" ht="22" customHeight="1">
      <x:c r="A305" s="300"/>
      <x:c r="B305" s="300"/>
      <x:c r="C305" s="300"/>
      <x:c r="D305" s="300"/>
      <x:c r="E305" s="300"/>
      <x:c r="F305" s="300"/>
      <x:c r="G305" s="300"/>
      <x:c r="H305" s="300"/>
      <x:c r="I305" s="300"/>
      <x:c r="J305" s="300"/>
      <x:c r="K305" s="300"/>
      <x:c r="L305" s="300"/>
      <x:c r="M305" s="300"/>
      <x:c r="N305" s="300"/>
    </x:row>
    <x:row r="306" ht="22" customHeight="1">
      <x:c r="A306" s="300"/>
      <x:c r="B306" s="300"/>
      <x:c r="C306" s="300"/>
      <x:c r="D306" s="300"/>
      <x:c r="E306" s="300"/>
      <x:c r="F306" s="300"/>
      <x:c r="G306" s="300"/>
      <x:c r="H306" s="300"/>
      <x:c r="I306" s="300"/>
      <x:c r="J306" s="300"/>
      <x:c r="K306" s="300"/>
      <x:c r="L306" s="300"/>
      <x:c r="M306" s="300"/>
      <x:c r="N306" s="300"/>
    </x:row>
    <x:row r="307" ht="22" customHeight="1">
      <x:c r="A307" s="300"/>
      <x:c r="B307" s="300"/>
      <x:c r="C307" s="300"/>
      <x:c r="D307" s="300"/>
      <x:c r="E307" s="300"/>
      <x:c r="F307" s="300"/>
      <x:c r="G307" s="300"/>
      <x:c r="H307" s="300"/>
      <x:c r="I307" s="300"/>
      <x:c r="J307" s="300"/>
      <x:c r="K307" s="300"/>
      <x:c r="L307" s="300"/>
      <x:c r="M307" s="300"/>
      <x:c r="N307" s="300"/>
    </x:row>
    <x:row r="308" ht="22" customHeight="1">
      <x:c r="A308" s="300"/>
      <x:c r="B308" s="300"/>
      <x:c r="C308" s="300"/>
      <x:c r="D308" s="300"/>
      <x:c r="E308" s="300"/>
      <x:c r="F308" s="300"/>
      <x:c r="G308" s="300"/>
      <x:c r="H308" s="300"/>
      <x:c r="I308" s="300"/>
      <x:c r="J308" s="300"/>
      <x:c r="K308" s="300"/>
      <x:c r="L308" s="300"/>
      <x:c r="M308" s="300"/>
      <x:c r="N308" s="300"/>
    </x:row>
    <x:row r="309" ht="22" customHeight="1">
      <x:c r="A309" s="300"/>
      <x:c r="B309" s="300"/>
      <x:c r="C309" s="300"/>
      <x:c r="D309" s="300"/>
      <x:c r="E309" s="300"/>
      <x:c r="F309" s="300"/>
      <x:c r="G309" s="300"/>
      <x:c r="H309" s="300"/>
      <x:c r="I309" s="300"/>
      <x:c r="J309" s="300"/>
      <x:c r="K309" s="300"/>
      <x:c r="L309" s="300"/>
      <x:c r="M309" s="300"/>
      <x:c r="N309" s="300"/>
    </x:row>
    <x:row r="310" ht="22" customHeight="1">
      <x:c r="A310" s="300"/>
      <x:c r="B310" s="300"/>
      <x:c r="C310" s="300"/>
      <x:c r="D310" s="300"/>
      <x:c r="E310" s="300"/>
      <x:c r="F310" s="300"/>
      <x:c r="G310" s="300"/>
      <x:c r="H310" s="300"/>
      <x:c r="I310" s="300"/>
      <x:c r="J310" s="300"/>
      <x:c r="K310" s="300"/>
      <x:c r="L310" s="300"/>
      <x:c r="M310" s="300"/>
      <x:c r="N310" s="300"/>
    </x:row>
    <x:row r="311" ht="22" customHeight="1">
      <x:c r="A311" s="300"/>
      <x:c r="B311" s="300"/>
      <x:c r="C311" s="300"/>
      <x:c r="D311" s="300"/>
      <x:c r="E311" s="300"/>
      <x:c r="F311" s="300"/>
      <x:c r="G311" s="300"/>
      <x:c r="H311" s="300"/>
      <x:c r="I311" s="300"/>
      <x:c r="J311" s="300"/>
      <x:c r="K311" s="300"/>
      <x:c r="L311" s="300"/>
      <x:c r="M311" s="300"/>
      <x:c r="N311" s="300"/>
    </x:row>
    <x:row r="312" ht="22" customHeight="1">
      <x:c r="A312" s="300"/>
      <x:c r="B312" s="300"/>
      <x:c r="C312" s="300"/>
      <x:c r="D312" s="300"/>
      <x:c r="E312" s="300"/>
      <x:c r="F312" s="300"/>
      <x:c r="G312" s="300"/>
      <x:c r="H312" s="300"/>
      <x:c r="I312" s="300"/>
      <x:c r="J312" s="300"/>
      <x:c r="K312" s="300"/>
      <x:c r="L312" s="300"/>
      <x:c r="M312" s="300"/>
      <x:c r="N312" s="300"/>
    </x:row>
    <x:row r="313" ht="22" customHeight="1">
      <x:c r="A313" s="300"/>
      <x:c r="B313" s="300"/>
      <x:c r="C313" s="300"/>
      <x:c r="D313" s="300"/>
      <x:c r="E313" s="300"/>
      <x:c r="F313" s="300"/>
      <x:c r="G313" s="300"/>
      <x:c r="H313" s="300"/>
      <x:c r="I313" s="300"/>
      <x:c r="J313" s="300"/>
      <x:c r="K313" s="300"/>
      <x:c r="L313" s="300"/>
      <x:c r="M313" s="300"/>
      <x:c r="N313" s="300"/>
    </x:row>
    <x:row r="314" ht="22" customHeight="1">
      <x:c r="A314" s="300"/>
      <x:c r="B314" s="300"/>
      <x:c r="C314" s="300"/>
      <x:c r="D314" s="300"/>
      <x:c r="E314" s="300"/>
      <x:c r="F314" s="300"/>
      <x:c r="G314" s="300"/>
      <x:c r="H314" s="300"/>
      <x:c r="I314" s="300"/>
      <x:c r="J314" s="300"/>
      <x:c r="K314" s="300"/>
      <x:c r="L314" s="300"/>
      <x:c r="M314" s="300"/>
      <x:c r="N314" s="300"/>
    </x:row>
    <x:row r="315" ht="22" customHeight="1">
      <x:c r="A315" s="300"/>
      <x:c r="B315" s="300"/>
      <x:c r="C315" s="300"/>
      <x:c r="D315" s="300"/>
      <x:c r="E315" s="300"/>
      <x:c r="F315" s="300"/>
      <x:c r="G315" s="300"/>
      <x:c r="H315" s="300"/>
      <x:c r="I315" s="300"/>
      <x:c r="J315" s="300"/>
      <x:c r="K315" s="300"/>
      <x:c r="L315" s="300"/>
      <x:c r="M315" s="300"/>
      <x:c r="N315" s="300"/>
    </x:row>
    <x:row r="316" ht="22" customHeight="1">
      <x:c r="A316" s="300"/>
      <x:c r="B316" s="300"/>
      <x:c r="C316" s="300"/>
      <x:c r="D316" s="300"/>
      <x:c r="E316" s="300"/>
      <x:c r="F316" s="300"/>
      <x:c r="G316" s="300"/>
      <x:c r="H316" s="300"/>
      <x:c r="I316" s="300"/>
      <x:c r="J316" s="300"/>
      <x:c r="K316" s="300"/>
      <x:c r="L316" s="300"/>
      <x:c r="M316" s="300"/>
      <x:c r="N316" s="300"/>
    </x:row>
    <x:row r="317" ht="22" customHeight="1">
      <x:c r="A317" s="300"/>
      <x:c r="B317" s="300"/>
      <x:c r="C317" s="300"/>
      <x:c r="D317" s="300"/>
      <x:c r="E317" s="300"/>
      <x:c r="F317" s="300"/>
      <x:c r="G317" s="300"/>
      <x:c r="H317" s="300"/>
      <x:c r="I317" s="300"/>
      <x:c r="J317" s="300"/>
      <x:c r="K317" s="300"/>
      <x:c r="L317" s="300"/>
      <x:c r="M317" s="300"/>
      <x:c r="N317" s="300"/>
    </x:row>
    <x:row r="318" ht="22" customHeight="1">
      <x:c r="A318" s="300"/>
      <x:c r="B318" s="300"/>
      <x:c r="C318" s="300"/>
      <x:c r="D318" s="300"/>
      <x:c r="E318" s="300"/>
      <x:c r="F318" s="300"/>
      <x:c r="G318" s="300"/>
      <x:c r="H318" s="300"/>
      <x:c r="I318" s="300"/>
      <x:c r="J318" s="300"/>
      <x:c r="K318" s="300"/>
      <x:c r="L318" s="300"/>
      <x:c r="M318" s="300"/>
      <x:c r="N318" s="300"/>
    </x:row>
    <x:row r="319" ht="22" customHeight="1">
      <x:c r="A319" s="300"/>
      <x:c r="B319" s="300"/>
      <x:c r="C319" s="300"/>
      <x:c r="D319" s="300"/>
      <x:c r="E319" s="300"/>
      <x:c r="F319" s="300"/>
      <x:c r="G319" s="300"/>
      <x:c r="H319" s="300"/>
      <x:c r="I319" s="300"/>
      <x:c r="J319" s="300"/>
      <x:c r="K319" s="300"/>
      <x:c r="L319" s="300"/>
      <x:c r="M319" s="300"/>
      <x:c r="N319" s="300"/>
    </x:row>
    <x:row r="320" ht="22" customHeight="1">
      <x:c r="A320" s="300"/>
      <x:c r="B320" s="300"/>
      <x:c r="C320" s="300"/>
      <x:c r="D320" s="300"/>
      <x:c r="E320" s="300"/>
      <x:c r="F320" s="300"/>
      <x:c r="G320" s="300"/>
      <x:c r="H320" s="300"/>
      <x:c r="I320" s="300"/>
      <x:c r="J320" s="300"/>
      <x:c r="K320" s="300"/>
      <x:c r="L320" s="300"/>
      <x:c r="M320" s="300"/>
      <x:c r="N320" s="300"/>
    </x:row>
    <x:row r="321" ht="22" customHeight="1">
      <x:c r="A321" s="300"/>
      <x:c r="B321" s="300"/>
      <x:c r="C321" s="300"/>
      <x:c r="D321" s="300"/>
      <x:c r="E321" s="300"/>
      <x:c r="F321" s="300"/>
      <x:c r="G321" s="300"/>
      <x:c r="H321" s="300"/>
      <x:c r="I321" s="300"/>
      <x:c r="J321" s="300"/>
      <x:c r="K321" s="300"/>
      <x:c r="L321" s="300"/>
      <x:c r="M321" s="300"/>
      <x:c r="N321" s="300"/>
    </x:row>
    <x:row r="322" ht="22" customHeight="1">
      <x:c r="A322" s="300"/>
      <x:c r="B322" s="300"/>
      <x:c r="C322" s="300"/>
      <x:c r="D322" s="300"/>
      <x:c r="E322" s="300"/>
      <x:c r="F322" s="300"/>
      <x:c r="G322" s="300"/>
      <x:c r="H322" s="300"/>
      <x:c r="I322" s="300"/>
      <x:c r="J322" s="300"/>
      <x:c r="K322" s="300"/>
      <x:c r="L322" s="300"/>
      <x:c r="M322" s="300"/>
      <x:c r="N322" s="300"/>
    </x:row>
    <x:row r="323" ht="22" customHeight="1">
      <x:c r="A323" s="300"/>
      <x:c r="B323" s="300"/>
      <x:c r="C323" s="300"/>
      <x:c r="D323" s="300"/>
      <x:c r="E323" s="300"/>
      <x:c r="F323" s="300"/>
      <x:c r="G323" s="300"/>
      <x:c r="H323" s="300"/>
      <x:c r="I323" s="300"/>
      <x:c r="J323" s="300"/>
      <x:c r="K323" s="300"/>
      <x:c r="L323" s="300"/>
      <x:c r="M323" s="300"/>
      <x:c r="N323" s="300"/>
    </x:row>
    <x:row r="324" ht="22" customHeight="1">
      <x:c r="A324" s="300"/>
      <x:c r="B324" s="300"/>
      <x:c r="C324" s="300"/>
      <x:c r="D324" s="300"/>
      <x:c r="E324" s="300"/>
      <x:c r="F324" s="300"/>
      <x:c r="G324" s="300"/>
      <x:c r="H324" s="300"/>
      <x:c r="I324" s="300"/>
      <x:c r="J324" s="300"/>
      <x:c r="K324" s="300"/>
      <x:c r="L324" s="300"/>
      <x:c r="M324" s="300"/>
      <x:c r="N324" s="300"/>
    </x:row>
    <x:row r="325" ht="22" customHeight="1">
      <x:c r="A325" s="300"/>
      <x:c r="B325" s="300"/>
      <x:c r="C325" s="300"/>
      <x:c r="D325" s="300"/>
      <x:c r="E325" s="300"/>
      <x:c r="F325" s="300"/>
      <x:c r="G325" s="300"/>
      <x:c r="H325" s="300"/>
      <x:c r="I325" s="300"/>
      <x:c r="J325" s="300"/>
      <x:c r="K325" s="300"/>
      <x:c r="L325" s="300"/>
      <x:c r="M325" s="300"/>
      <x:c r="N325" s="300"/>
    </x:row>
    <x:row r="326" ht="22" customHeight="1">
      <x:c r="A326" s="300"/>
      <x:c r="B326" s="300"/>
      <x:c r="C326" s="300"/>
      <x:c r="D326" s="300"/>
      <x:c r="E326" s="300"/>
      <x:c r="F326" s="300"/>
      <x:c r="G326" s="300"/>
      <x:c r="H326" s="300"/>
      <x:c r="I326" s="300"/>
      <x:c r="J326" s="300"/>
      <x:c r="K326" s="300"/>
      <x:c r="L326" s="300"/>
      <x:c r="M326" s="300"/>
      <x:c r="N326" s="300"/>
    </x:row>
    <x:row r="327" ht="22" customHeight="1">
      <x:c r="A327" s="300"/>
      <x:c r="B327" s="300"/>
      <x:c r="C327" s="300"/>
      <x:c r="D327" s="300"/>
      <x:c r="E327" s="300"/>
      <x:c r="F327" s="300"/>
      <x:c r="G327" s="300"/>
      <x:c r="H327" s="300"/>
      <x:c r="I327" s="300"/>
      <x:c r="J327" s="300"/>
      <x:c r="K327" s="300"/>
      <x:c r="L327" s="300"/>
      <x:c r="M327" s="300"/>
      <x:c r="N327" s="300"/>
    </x:row>
    <x:row r="328" ht="22" customHeight="1">
      <x:c r="A328" s="300"/>
      <x:c r="B328" s="300"/>
      <x:c r="C328" s="300"/>
      <x:c r="D328" s="300"/>
      <x:c r="E328" s="300"/>
      <x:c r="F328" s="300"/>
      <x:c r="G328" s="300"/>
      <x:c r="H328" s="300"/>
      <x:c r="I328" s="300"/>
      <x:c r="J328" s="300"/>
      <x:c r="K328" s="300"/>
      <x:c r="L328" s="300"/>
      <x:c r="M328" s="300"/>
      <x:c r="N328" s="300"/>
    </x:row>
    <x:row r="329" ht="22" customHeight="1">
      <x:c r="A329" s="300"/>
      <x:c r="B329" s="300"/>
      <x:c r="C329" s="300"/>
      <x:c r="D329" s="300"/>
      <x:c r="E329" s="300"/>
      <x:c r="F329" s="300"/>
      <x:c r="G329" s="300"/>
      <x:c r="H329" s="300"/>
      <x:c r="I329" s="300"/>
      <x:c r="J329" s="300"/>
      <x:c r="K329" s="300"/>
      <x:c r="L329" s="300"/>
      <x:c r="M329" s="300"/>
      <x:c r="N329" s="300"/>
    </x:row>
    <x:row r="330" ht="22" customHeight="1">
      <x:c r="A330" s="300"/>
      <x:c r="B330" s="300"/>
      <x:c r="C330" s="300"/>
      <x:c r="D330" s="300"/>
      <x:c r="E330" s="300"/>
      <x:c r="F330" s="300"/>
      <x:c r="G330" s="300"/>
      <x:c r="H330" s="300"/>
      <x:c r="I330" s="300"/>
      <x:c r="J330" s="300"/>
      <x:c r="K330" s="300"/>
      <x:c r="L330" s="300"/>
      <x:c r="M330" s="300"/>
      <x:c r="N330" s="300"/>
    </x:row>
    <x:row r="331" ht="22" customHeight="1">
      <x:c r="A331" s="300"/>
      <x:c r="B331" s="300"/>
      <x:c r="C331" s="300"/>
      <x:c r="D331" s="300"/>
      <x:c r="E331" s="300"/>
      <x:c r="F331" s="300"/>
      <x:c r="G331" s="300"/>
      <x:c r="H331" s="300"/>
      <x:c r="I331" s="300"/>
      <x:c r="J331" s="300"/>
      <x:c r="K331" s="300"/>
      <x:c r="L331" s="300"/>
      <x:c r="M331" s="300"/>
      <x:c r="N331" s="300"/>
    </x:row>
    <x:row r="332" ht="22" customHeight="1">
      <x:c r="A332" s="300"/>
      <x:c r="B332" s="300"/>
      <x:c r="C332" s="300"/>
      <x:c r="D332" s="300"/>
      <x:c r="E332" s="300"/>
      <x:c r="F332" s="300"/>
      <x:c r="G332" s="300"/>
      <x:c r="H332" s="300"/>
      <x:c r="I332" s="300"/>
      <x:c r="J332" s="300"/>
      <x:c r="K332" s="300"/>
      <x:c r="L332" s="300"/>
      <x:c r="M332" s="300"/>
      <x:c r="N332" s="300"/>
    </x:row>
    <x:row r="333" ht="22" customHeight="1">
      <x:c r="A333" s="300"/>
      <x:c r="B333" s="300"/>
      <x:c r="C333" s="300"/>
      <x:c r="D333" s="300"/>
      <x:c r="E333" s="300"/>
      <x:c r="F333" s="300"/>
      <x:c r="G333" s="300"/>
      <x:c r="H333" s="300"/>
      <x:c r="I333" s="300"/>
      <x:c r="J333" s="300"/>
      <x:c r="K333" s="300"/>
      <x:c r="L333" s="300"/>
      <x:c r="M333" s="300"/>
      <x:c r="N333" s="300"/>
    </x:row>
    <x:row r="334" ht="22" customHeight="1">
      <x:c r="A334" s="300"/>
      <x:c r="B334" s="300"/>
      <x:c r="C334" s="300"/>
      <x:c r="D334" s="300"/>
      <x:c r="E334" s="300"/>
      <x:c r="F334" s="300"/>
      <x:c r="G334" s="300"/>
      <x:c r="H334" s="300"/>
      <x:c r="I334" s="300"/>
      <x:c r="J334" s="300"/>
      <x:c r="K334" s="300"/>
      <x:c r="L334" s="300"/>
      <x:c r="M334" s="300"/>
      <x:c r="N334" s="300"/>
    </x:row>
    <x:row r="335" ht="22" customHeight="1">
      <x:c r="A335" s="300"/>
      <x:c r="B335" s="300"/>
      <x:c r="C335" s="300"/>
      <x:c r="D335" s="300"/>
      <x:c r="E335" s="300"/>
      <x:c r="F335" s="300"/>
      <x:c r="G335" s="300"/>
      <x:c r="H335" s="300"/>
      <x:c r="I335" s="300"/>
      <x:c r="J335" s="300"/>
      <x:c r="K335" s="300"/>
      <x:c r="L335" s="300"/>
      <x:c r="M335" s="300"/>
      <x:c r="N335" s="300"/>
    </x:row>
    <x:row r="336" ht="22" customHeight="1">
      <x:c r="A336" s="300"/>
      <x:c r="B336" s="300"/>
      <x:c r="C336" s="300"/>
      <x:c r="D336" s="300"/>
      <x:c r="E336" s="300"/>
      <x:c r="F336" s="300"/>
      <x:c r="G336" s="300"/>
      <x:c r="H336" s="300"/>
      <x:c r="I336" s="300"/>
      <x:c r="J336" s="300"/>
      <x:c r="K336" s="300"/>
      <x:c r="L336" s="300"/>
      <x:c r="M336" s="300"/>
      <x:c r="N336" s="300"/>
    </x:row>
    <x:row r="337" ht="22" customHeight="1">
      <x:c r="A337" s="300"/>
      <x:c r="B337" s="300"/>
      <x:c r="C337" s="300"/>
      <x:c r="D337" s="300"/>
      <x:c r="E337" s="300"/>
      <x:c r="F337" s="300"/>
      <x:c r="G337" s="300"/>
      <x:c r="H337" s="300"/>
      <x:c r="I337" s="300"/>
      <x:c r="J337" s="300"/>
      <x:c r="K337" s="300"/>
      <x:c r="L337" s="300"/>
      <x:c r="M337" s="300"/>
      <x:c r="N337" s="300"/>
    </x:row>
    <x:row r="338" ht="22" customHeight="1">
      <x:c r="A338" s="300"/>
      <x:c r="B338" s="300"/>
      <x:c r="C338" s="300"/>
      <x:c r="D338" s="300"/>
      <x:c r="E338" s="300"/>
      <x:c r="F338" s="300"/>
      <x:c r="G338" s="300"/>
      <x:c r="H338" s="300"/>
      <x:c r="I338" s="300"/>
      <x:c r="J338" s="300"/>
      <x:c r="K338" s="300"/>
      <x:c r="L338" s="300"/>
      <x:c r="M338" s="300"/>
      <x:c r="N338" s="300"/>
    </x:row>
    <x:row r="339" ht="22" customHeight="1">
      <x:c r="A339" s="300"/>
      <x:c r="B339" s="300"/>
      <x:c r="C339" s="300"/>
      <x:c r="D339" s="300"/>
      <x:c r="E339" s="300"/>
      <x:c r="F339" s="300"/>
      <x:c r="G339" s="300"/>
      <x:c r="H339" s="300"/>
      <x:c r="I339" s="300"/>
      <x:c r="J339" s="300"/>
      <x:c r="K339" s="300"/>
      <x:c r="L339" s="300"/>
      <x:c r="M339" s="300"/>
      <x:c r="N339" s="300"/>
    </x:row>
    <x:row r="340" ht="22" customHeight="1">
      <x:c r="A340" s="300"/>
      <x:c r="B340" s="300"/>
      <x:c r="C340" s="300"/>
      <x:c r="D340" s="300"/>
      <x:c r="E340" s="300"/>
      <x:c r="F340" s="300"/>
      <x:c r="G340" s="300"/>
      <x:c r="H340" s="300"/>
      <x:c r="I340" s="300"/>
      <x:c r="J340" s="300"/>
      <x:c r="K340" s="300"/>
      <x:c r="L340" s="300"/>
      <x:c r="M340" s="300"/>
      <x:c r="N340" s="300"/>
    </x:row>
    <x:row r="341" ht="22" customHeight="1">
      <x:c r="A341" s="300"/>
      <x:c r="B341" s="300"/>
      <x:c r="C341" s="300"/>
      <x:c r="D341" s="300"/>
      <x:c r="E341" s="300"/>
      <x:c r="F341" s="300"/>
      <x:c r="G341" s="300"/>
      <x:c r="H341" s="300"/>
      <x:c r="I341" s="300"/>
      <x:c r="J341" s="300"/>
      <x:c r="K341" s="300"/>
      <x:c r="L341" s="300"/>
      <x:c r="M341" s="300"/>
      <x:c r="N341" s="300"/>
    </x:row>
    <x:row r="342" ht="22" customHeight="1">
      <x:c r="A342" s="300"/>
      <x:c r="B342" s="300"/>
      <x:c r="C342" s="300"/>
      <x:c r="D342" s="300"/>
      <x:c r="E342" s="300"/>
      <x:c r="F342" s="300"/>
      <x:c r="G342" s="300"/>
      <x:c r="H342" s="300"/>
      <x:c r="I342" s="300"/>
      <x:c r="J342" s="300"/>
      <x:c r="K342" s="300"/>
      <x:c r="L342" s="300"/>
      <x:c r="M342" s="300"/>
      <x:c r="N342" s="300"/>
    </x:row>
    <x:row r="343" ht="22" customHeight="1">
      <x:c r="A343" s="300"/>
      <x:c r="B343" s="300"/>
      <x:c r="C343" s="300"/>
      <x:c r="D343" s="300"/>
      <x:c r="E343" s="300"/>
      <x:c r="F343" s="300"/>
      <x:c r="G343" s="300"/>
      <x:c r="H343" s="300"/>
      <x:c r="I343" s="300"/>
      <x:c r="J343" s="300"/>
      <x:c r="K343" s="300"/>
      <x:c r="L343" s="300"/>
      <x:c r="M343" s="300"/>
      <x:c r="N343" s="300"/>
    </x:row>
    <x:row r="344" ht="22" customHeight="1">
      <x:c r="A344" s="300"/>
      <x:c r="B344" s="300"/>
      <x:c r="C344" s="300"/>
      <x:c r="D344" s="300"/>
      <x:c r="E344" s="300"/>
      <x:c r="F344" s="300"/>
      <x:c r="G344" s="300"/>
      <x:c r="H344" s="300"/>
      <x:c r="I344" s="300"/>
      <x:c r="J344" s="300"/>
      <x:c r="K344" s="300"/>
      <x:c r="L344" s="300"/>
      <x:c r="M344" s="300"/>
      <x:c r="N344" s="300"/>
    </x:row>
    <x:row r="345" ht="22" customHeight="1">
      <x:c r="A345" s="300"/>
      <x:c r="B345" s="300"/>
      <x:c r="C345" s="300"/>
      <x:c r="D345" s="300"/>
      <x:c r="E345" s="300"/>
      <x:c r="F345" s="300"/>
      <x:c r="G345" s="300"/>
      <x:c r="H345" s="300"/>
      <x:c r="I345" s="300"/>
      <x:c r="J345" s="300"/>
      <x:c r="K345" s="300"/>
      <x:c r="L345" s="300"/>
      <x:c r="M345" s="300"/>
      <x:c r="N345" s="300"/>
    </x:row>
    <x:row r="346" ht="22" customHeight="1">
      <x:c r="A346" s="300"/>
      <x:c r="B346" s="300"/>
      <x:c r="C346" s="300"/>
      <x:c r="D346" s="300"/>
      <x:c r="E346" s="300"/>
      <x:c r="F346" s="300"/>
      <x:c r="G346" s="300"/>
      <x:c r="H346" s="300"/>
      <x:c r="I346" s="300"/>
      <x:c r="J346" s="300"/>
      <x:c r="K346" s="300"/>
      <x:c r="L346" s="300"/>
      <x:c r="M346" s="300"/>
      <x:c r="N346" s="300"/>
    </x:row>
    <x:row r="347" ht="22" customHeight="1">
      <x:c r="A347" s="300"/>
      <x:c r="B347" s="300"/>
      <x:c r="C347" s="300"/>
      <x:c r="D347" s="300"/>
      <x:c r="E347" s="300"/>
      <x:c r="F347" s="300"/>
      <x:c r="G347" s="300"/>
      <x:c r="H347" s="300"/>
      <x:c r="I347" s="300"/>
      <x:c r="J347" s="300"/>
      <x:c r="K347" s="300"/>
      <x:c r="L347" s="300"/>
      <x:c r="M347" s="300"/>
      <x:c r="N347" s="300"/>
    </x:row>
    <x:row r="348" ht="22" customHeight="1">
      <x:c r="A348" s="300"/>
      <x:c r="B348" s="300"/>
      <x:c r="C348" s="300"/>
      <x:c r="D348" s="300"/>
      <x:c r="E348" s="300"/>
      <x:c r="F348" s="300"/>
      <x:c r="G348" s="300"/>
      <x:c r="H348" s="300"/>
      <x:c r="I348" s="300"/>
      <x:c r="J348" s="300"/>
      <x:c r="K348" s="300"/>
      <x:c r="L348" s="300"/>
      <x:c r="M348" s="300"/>
      <x:c r="N348" s="300"/>
    </x:row>
    <x:row r="349" ht="22" customHeight="1">
      <x:c r="A349" s="300"/>
      <x:c r="B349" s="300"/>
      <x:c r="C349" s="300"/>
      <x:c r="D349" s="300"/>
      <x:c r="E349" s="300"/>
      <x:c r="F349" s="300"/>
      <x:c r="G349" s="300"/>
      <x:c r="H349" s="300"/>
      <x:c r="I349" s="300"/>
      <x:c r="J349" s="300"/>
      <x:c r="K349" s="300"/>
      <x:c r="L349" s="300"/>
      <x:c r="M349" s="300"/>
      <x:c r="N349" s="300"/>
    </x:row>
    <x:row r="350" ht="22" customHeight="1">
      <x:c r="A350" s="300"/>
      <x:c r="B350" s="300"/>
      <x:c r="C350" s="300"/>
      <x:c r="D350" s="300"/>
      <x:c r="E350" s="300"/>
      <x:c r="F350" s="300"/>
      <x:c r="G350" s="300"/>
      <x:c r="H350" s="300"/>
      <x:c r="I350" s="300"/>
      <x:c r="J350" s="300"/>
      <x:c r="K350" s="300"/>
      <x:c r="L350" s="300"/>
      <x:c r="M350" s="300"/>
      <x:c r="N350" s="300"/>
    </x:row>
    <x:row r="351" ht="22" customHeight="1">
      <x:c r="A351" s="300"/>
      <x:c r="B351" s="300"/>
      <x:c r="C351" s="300"/>
      <x:c r="D351" s="300"/>
      <x:c r="E351" s="300"/>
      <x:c r="F351" s="300"/>
      <x:c r="G351" s="300"/>
      <x:c r="H351" s="300"/>
      <x:c r="I351" s="300"/>
      <x:c r="J351" s="300"/>
      <x:c r="K351" s="300"/>
      <x:c r="L351" s="300"/>
      <x:c r="M351" s="300"/>
      <x:c r="N351" s="300"/>
    </x:row>
    <x:row r="352" ht="22" customHeight="1">
      <x:c r="A352" s="300"/>
      <x:c r="B352" s="300"/>
      <x:c r="C352" s="300"/>
      <x:c r="D352" s="300"/>
      <x:c r="E352" s="300"/>
      <x:c r="F352" s="300"/>
      <x:c r="G352" s="300"/>
      <x:c r="H352" s="300"/>
      <x:c r="I352" s="300"/>
      <x:c r="J352" s="300"/>
      <x:c r="K352" s="300"/>
      <x:c r="L352" s="300"/>
      <x:c r="M352" s="300"/>
      <x:c r="N352" s="300"/>
    </x:row>
    <x:row r="353" ht="22" customHeight="1">
      <x:c r="A353" s="300"/>
      <x:c r="B353" s="300"/>
      <x:c r="C353" s="300"/>
      <x:c r="D353" s="300"/>
      <x:c r="E353" s="300"/>
      <x:c r="F353" s="300"/>
      <x:c r="G353" s="300"/>
      <x:c r="H353" s="300"/>
      <x:c r="I353" s="300"/>
      <x:c r="J353" s="300"/>
      <x:c r="K353" s="300"/>
      <x:c r="L353" s="300"/>
      <x:c r="M353" s="300"/>
      <x:c r="N353" s="300"/>
    </x:row>
    <x:row r="354" ht="22" customHeight="1">
      <x:c r="A354" s="300"/>
      <x:c r="B354" s="300"/>
      <x:c r="C354" s="300"/>
      <x:c r="D354" s="300"/>
      <x:c r="E354" s="300"/>
      <x:c r="F354" s="300"/>
      <x:c r="G354" s="300"/>
      <x:c r="H354" s="300"/>
      <x:c r="I354" s="300"/>
      <x:c r="J354" s="300"/>
      <x:c r="K354" s="300"/>
      <x:c r="L354" s="300"/>
      <x:c r="M354" s="300"/>
      <x:c r="N354" s="300"/>
    </x:row>
    <x:row r="355" ht="22" customHeight="1">
      <x:c r="A355" s="300"/>
      <x:c r="B355" s="300"/>
      <x:c r="C355" s="300"/>
      <x:c r="D355" s="300"/>
      <x:c r="E355" s="300"/>
      <x:c r="F355" s="300"/>
      <x:c r="G355" s="300"/>
      <x:c r="H355" s="300"/>
      <x:c r="I355" s="300"/>
      <x:c r="J355" s="300"/>
      <x:c r="K355" s="300"/>
      <x:c r="L355" s="300"/>
      <x:c r="M355" s="300"/>
      <x:c r="N355" s="300"/>
    </x:row>
    <x:row r="356" ht="22" customHeight="1">
      <x:c r="A356" s="300"/>
      <x:c r="B356" s="300"/>
      <x:c r="C356" s="300"/>
      <x:c r="D356" s="300"/>
      <x:c r="E356" s="300"/>
      <x:c r="F356" s="300"/>
      <x:c r="G356" s="300"/>
      <x:c r="H356" s="300"/>
      <x:c r="I356" s="300"/>
      <x:c r="J356" s="300"/>
      <x:c r="K356" s="300"/>
      <x:c r="L356" s="300"/>
      <x:c r="M356" s="300"/>
      <x:c r="N356" s="300"/>
    </x:row>
    <x:row r="357" ht="22" customHeight="1">
      <x:c r="A357" s="300"/>
      <x:c r="B357" s="300"/>
      <x:c r="C357" s="300"/>
      <x:c r="D357" s="300"/>
      <x:c r="E357" s="300"/>
      <x:c r="F357" s="300"/>
      <x:c r="G357" s="300"/>
      <x:c r="H357" s="300"/>
      <x:c r="I357" s="300"/>
      <x:c r="J357" s="300"/>
      <x:c r="K357" s="300"/>
      <x:c r="L357" s="300"/>
      <x:c r="M357" s="300"/>
      <x:c r="N357" s="300"/>
    </x:row>
    <x:row r="358" ht="22" customHeight="1">
      <x:c r="A358" s="300"/>
      <x:c r="B358" s="300"/>
      <x:c r="C358" s="300"/>
      <x:c r="D358" s="300"/>
      <x:c r="E358" s="300"/>
      <x:c r="F358" s="300"/>
      <x:c r="G358" s="300"/>
      <x:c r="H358" s="300"/>
      <x:c r="I358" s="300"/>
      <x:c r="J358" s="300"/>
      <x:c r="K358" s="300"/>
      <x:c r="L358" s="300"/>
      <x:c r="M358" s="300"/>
      <x:c r="N358" s="300"/>
    </x:row>
    <x:row r="359" ht="22" customHeight="1">
      <x:c r="A359" s="300"/>
      <x:c r="B359" s="300"/>
      <x:c r="C359" s="300"/>
      <x:c r="D359" s="300"/>
      <x:c r="E359" s="300"/>
      <x:c r="F359" s="300"/>
      <x:c r="G359" s="300"/>
      <x:c r="H359" s="300"/>
      <x:c r="I359" s="300"/>
      <x:c r="J359" s="300"/>
      <x:c r="K359" s="300"/>
      <x:c r="L359" s="300"/>
      <x:c r="M359" s="300"/>
      <x:c r="N359" s="300"/>
    </x:row>
    <x:row r="360" ht="22" customHeight="1">
      <x:c r="A360" s="300"/>
      <x:c r="B360" s="300"/>
      <x:c r="C360" s="300"/>
      <x:c r="D360" s="300"/>
      <x:c r="E360" s="300"/>
      <x:c r="F360" s="300"/>
      <x:c r="G360" s="300"/>
      <x:c r="H360" s="300"/>
      <x:c r="I360" s="300"/>
      <x:c r="J360" s="300"/>
      <x:c r="K360" s="300"/>
      <x:c r="L360" s="300"/>
      <x:c r="M360" s="300"/>
      <x:c r="N360" s="300"/>
    </x:row>
    <x:row r="361" ht="22" customHeight="1">
      <x:c r="A361" s="300"/>
      <x:c r="B361" s="300"/>
      <x:c r="C361" s="300"/>
      <x:c r="D361" s="300"/>
      <x:c r="E361" s="300"/>
      <x:c r="F361" s="300"/>
      <x:c r="G361" s="300"/>
      <x:c r="H361" s="300"/>
      <x:c r="I361" s="300"/>
      <x:c r="J361" s="300"/>
      <x:c r="K361" s="300"/>
      <x:c r="L361" s="300"/>
      <x:c r="M361" s="300"/>
      <x:c r="N361" s="300"/>
    </x:row>
    <x:row r="362" ht="22" customHeight="1">
      <x:c r="A362" s="300"/>
      <x:c r="B362" s="300"/>
      <x:c r="C362" s="300"/>
      <x:c r="D362" s="300"/>
      <x:c r="E362" s="300"/>
      <x:c r="F362" s="300"/>
      <x:c r="G362" s="300"/>
      <x:c r="H362" s="300"/>
      <x:c r="I362" s="300"/>
      <x:c r="J362" s="300"/>
      <x:c r="K362" s="300"/>
      <x:c r="L362" s="300"/>
      <x:c r="M362" s="300"/>
      <x:c r="N362" s="300"/>
    </x:row>
    <x:row r="363" ht="22" customHeight="1">
      <x:c r="A363" s="300"/>
      <x:c r="B363" s="300"/>
      <x:c r="C363" s="300"/>
      <x:c r="D363" s="300"/>
      <x:c r="E363" s="300"/>
      <x:c r="F363" s="300"/>
      <x:c r="G363" s="300"/>
      <x:c r="H363" s="300"/>
      <x:c r="I363" s="300"/>
      <x:c r="J363" s="300"/>
      <x:c r="K363" s="300"/>
      <x:c r="L363" s="300"/>
      <x:c r="M363" s="300"/>
      <x:c r="N363" s="300"/>
    </x:row>
    <x:row r="364" ht="22" customHeight="1">
      <x:c r="A364" s="300"/>
      <x:c r="B364" s="300"/>
      <x:c r="C364" s="300"/>
      <x:c r="D364" s="300"/>
      <x:c r="E364" s="300"/>
      <x:c r="F364" s="300"/>
      <x:c r="G364" s="300"/>
      <x:c r="H364" s="300"/>
      <x:c r="I364" s="300"/>
      <x:c r="J364" s="300"/>
      <x:c r="K364" s="300"/>
      <x:c r="L364" s="300"/>
      <x:c r="M364" s="300"/>
      <x:c r="N364" s="300"/>
    </x:row>
    <x:row r="365" ht="22" customHeight="1">
      <x:c r="A365" s="300"/>
      <x:c r="B365" s="300"/>
      <x:c r="C365" s="300"/>
      <x:c r="D365" s="300"/>
      <x:c r="E365" s="300"/>
      <x:c r="F365" s="300"/>
      <x:c r="G365" s="300"/>
      <x:c r="H365" s="300"/>
      <x:c r="I365" s="300"/>
      <x:c r="J365" s="300"/>
      <x:c r="K365" s="300"/>
      <x:c r="L365" s="300"/>
      <x:c r="M365" s="300"/>
      <x:c r="N365" s="300"/>
    </x:row>
    <x:row r="366" ht="22" customHeight="1">
      <x:c r="A366" s="300"/>
      <x:c r="B366" s="300"/>
      <x:c r="C366" s="300"/>
      <x:c r="D366" s="300"/>
      <x:c r="E366" s="300"/>
      <x:c r="F366" s="300"/>
      <x:c r="G366" s="300"/>
      <x:c r="H366" s="300"/>
      <x:c r="I366" s="300"/>
      <x:c r="J366" s="300"/>
      <x:c r="K366" s="300"/>
      <x:c r="L366" s="300"/>
      <x:c r="M366" s="300"/>
      <x:c r="N366" s="300"/>
    </x:row>
    <x:row r="367" ht="22" customHeight="1">
      <x:c r="A367" s="300"/>
      <x:c r="B367" s="300"/>
      <x:c r="C367" s="300"/>
      <x:c r="D367" s="300"/>
      <x:c r="E367" s="300"/>
      <x:c r="F367" s="300"/>
      <x:c r="G367" s="300"/>
      <x:c r="H367" s="300"/>
      <x:c r="I367" s="300"/>
      <x:c r="J367" s="300"/>
      <x:c r="K367" s="300"/>
      <x:c r="L367" s="300"/>
      <x:c r="M367" s="300"/>
      <x:c r="N367" s="300"/>
    </x:row>
    <x:row r="368" ht="22" customHeight="1">
      <x:c r="A368" s="300"/>
      <x:c r="B368" s="300"/>
      <x:c r="C368" s="300"/>
      <x:c r="D368" s="300"/>
      <x:c r="E368" s="300"/>
      <x:c r="F368" s="300"/>
      <x:c r="G368" s="300"/>
      <x:c r="H368" s="300"/>
      <x:c r="I368" s="300"/>
      <x:c r="J368" s="300"/>
      <x:c r="K368" s="300"/>
      <x:c r="L368" s="300"/>
      <x:c r="M368" s="300"/>
      <x:c r="N368" s="300"/>
    </x:row>
    <x:row r="369" ht="22" customHeight="1">
      <x:c r="A369" s="300"/>
      <x:c r="B369" s="300"/>
      <x:c r="C369" s="300"/>
      <x:c r="D369" s="300"/>
      <x:c r="E369" s="300"/>
      <x:c r="F369" s="300"/>
      <x:c r="G369" s="300"/>
      <x:c r="H369" s="300"/>
      <x:c r="I369" s="300"/>
      <x:c r="J369" s="300"/>
      <x:c r="K369" s="300"/>
      <x:c r="L369" s="300"/>
      <x:c r="M369" s="300"/>
      <x:c r="N369" s="300"/>
    </x:row>
    <x:row r="370" ht="22" customHeight="1">
      <x:c r="A370" s="300"/>
      <x:c r="B370" s="300"/>
      <x:c r="C370" s="300"/>
      <x:c r="D370" s="300"/>
      <x:c r="E370" s="300"/>
      <x:c r="F370" s="300"/>
      <x:c r="G370" s="300"/>
      <x:c r="H370" s="300"/>
      <x:c r="I370" s="300"/>
      <x:c r="J370" s="300"/>
      <x:c r="K370" s="300"/>
      <x:c r="L370" s="300"/>
      <x:c r="M370" s="300"/>
      <x:c r="N370" s="300"/>
    </x:row>
    <x:row r="371" ht="22" customHeight="1">
      <x:c r="A371" s="300"/>
      <x:c r="B371" s="300"/>
      <x:c r="C371" s="300"/>
      <x:c r="D371" s="300"/>
      <x:c r="E371" s="300"/>
      <x:c r="F371" s="300"/>
      <x:c r="G371" s="300"/>
      <x:c r="H371" s="300"/>
      <x:c r="I371" s="300"/>
      <x:c r="J371" s="300"/>
      <x:c r="K371" s="300"/>
      <x:c r="L371" s="300"/>
      <x:c r="M371" s="300"/>
      <x:c r="N371" s="300"/>
    </x:row>
    <x:row r="372" ht="22" customHeight="1">
      <x:c r="A372" s="300"/>
      <x:c r="B372" s="300"/>
      <x:c r="C372" s="300"/>
      <x:c r="D372" s="300"/>
      <x:c r="E372" s="300"/>
      <x:c r="F372" s="300"/>
      <x:c r="G372" s="300"/>
      <x:c r="H372" s="300"/>
      <x:c r="I372" s="300"/>
      <x:c r="J372" s="300"/>
      <x:c r="K372" s="300"/>
      <x:c r="L372" s="300"/>
      <x:c r="M372" s="300"/>
      <x:c r="N372" s="300"/>
    </x:row>
    <x:row r="373" ht="22" customHeight="1">
      <x:c r="A373" s="300"/>
      <x:c r="B373" s="300"/>
      <x:c r="C373" s="300"/>
      <x:c r="D373" s="300"/>
      <x:c r="E373" s="300"/>
      <x:c r="F373" s="300"/>
      <x:c r="G373" s="300"/>
      <x:c r="H373" s="300"/>
      <x:c r="I373" s="300"/>
      <x:c r="J373" s="300"/>
      <x:c r="K373" s="300"/>
      <x:c r="L373" s="300"/>
      <x:c r="M373" s="300"/>
      <x:c r="N373" s="300"/>
    </x:row>
    <x:row r="374" ht="22" customHeight="1">
      <x:c r="A374" s="300"/>
      <x:c r="B374" s="300"/>
      <x:c r="C374" s="300"/>
      <x:c r="D374" s="300"/>
      <x:c r="E374" s="300"/>
      <x:c r="F374" s="300"/>
      <x:c r="G374" s="300"/>
      <x:c r="H374" s="300"/>
      <x:c r="I374" s="300"/>
      <x:c r="J374" s="300"/>
      <x:c r="K374" s="300"/>
      <x:c r="L374" s="300"/>
      <x:c r="M374" s="300"/>
      <x:c r="N374" s="300"/>
    </x:row>
    <x:row r="375" ht="22" customHeight="1">
      <x:c r="A375" s="300"/>
      <x:c r="B375" s="300"/>
      <x:c r="C375" s="300"/>
      <x:c r="D375" s="300"/>
      <x:c r="E375" s="300"/>
      <x:c r="F375" s="300"/>
      <x:c r="G375" s="300"/>
      <x:c r="H375" s="300"/>
      <x:c r="I375" s="300"/>
      <x:c r="J375" s="300"/>
      <x:c r="K375" s="300"/>
      <x:c r="L375" s="300"/>
      <x:c r="M375" s="300"/>
      <x:c r="N375" s="300"/>
    </x:row>
    <x:row r="376" ht="22" customHeight="1">
      <x:c r="A376" s="300"/>
      <x:c r="B376" s="300"/>
      <x:c r="C376" s="300"/>
      <x:c r="D376" s="300"/>
      <x:c r="E376" s="300"/>
      <x:c r="F376" s="300"/>
      <x:c r="G376" s="300"/>
      <x:c r="H376" s="300"/>
      <x:c r="I376" s="300"/>
      <x:c r="J376" s="300"/>
      <x:c r="K376" s="300"/>
      <x:c r="L376" s="300"/>
      <x:c r="M376" s="300"/>
      <x:c r="N376" s="300"/>
    </x:row>
    <x:row r="377" ht="22" customHeight="1">
      <x:c r="A377" s="300"/>
      <x:c r="B377" s="300"/>
      <x:c r="C377" s="300"/>
      <x:c r="D377" s="300"/>
      <x:c r="E377" s="300"/>
      <x:c r="F377" s="300"/>
      <x:c r="G377" s="300"/>
      <x:c r="H377" s="300"/>
      <x:c r="I377" s="300"/>
      <x:c r="J377" s="300"/>
      <x:c r="K377" s="300"/>
      <x:c r="L377" s="300"/>
      <x:c r="M377" s="300"/>
      <x:c r="N377" s="300"/>
    </x:row>
    <x:row r="378" ht="22" customHeight="1">
      <x:c r="A378" s="300"/>
      <x:c r="B378" s="300"/>
      <x:c r="C378" s="300"/>
      <x:c r="D378" s="300"/>
      <x:c r="E378" s="300"/>
      <x:c r="F378" s="300"/>
      <x:c r="G378" s="300"/>
      <x:c r="H378" s="300"/>
      <x:c r="I378" s="300"/>
      <x:c r="J378" s="300"/>
      <x:c r="K378" s="300"/>
      <x:c r="L378" s="300"/>
      <x:c r="M378" s="300"/>
      <x:c r="N378" s="300"/>
    </x:row>
    <x:row r="379" ht="22" customHeight="1">
      <x:c r="A379" s="300"/>
      <x:c r="B379" s="300"/>
      <x:c r="C379" s="300"/>
      <x:c r="D379" s="300"/>
      <x:c r="E379" s="300"/>
      <x:c r="F379" s="300"/>
      <x:c r="G379" s="300"/>
      <x:c r="H379" s="300"/>
      <x:c r="I379" s="300"/>
      <x:c r="J379" s="300"/>
      <x:c r="K379" s="300"/>
      <x:c r="L379" s="300"/>
      <x:c r="M379" s="300"/>
      <x:c r="N379" s="300"/>
    </x:row>
    <x:row r="380" ht="22" customHeight="1">
      <x:c r="A380" s="300"/>
      <x:c r="B380" s="300"/>
      <x:c r="C380" s="300"/>
      <x:c r="D380" s="300"/>
      <x:c r="E380" s="300"/>
      <x:c r="F380" s="300"/>
      <x:c r="G380" s="300"/>
      <x:c r="H380" s="300"/>
      <x:c r="I380" s="300"/>
      <x:c r="J380" s="300"/>
      <x:c r="K380" s="300"/>
      <x:c r="L380" s="300"/>
      <x:c r="M380" s="300"/>
      <x:c r="N380" s="300"/>
    </x:row>
    <x:row r="381" ht="22" customHeight="1">
      <x:c r="A381" s="300"/>
      <x:c r="B381" s="300"/>
      <x:c r="C381" s="300"/>
      <x:c r="D381" s="300"/>
      <x:c r="E381" s="300"/>
      <x:c r="F381" s="300"/>
      <x:c r="G381" s="300"/>
      <x:c r="H381" s="300"/>
      <x:c r="I381" s="300"/>
      <x:c r="J381" s="300"/>
      <x:c r="K381" s="300"/>
      <x:c r="L381" s="300"/>
      <x:c r="M381" s="300"/>
      <x:c r="N381" s="300"/>
    </x:row>
    <x:row r="382" ht="22" customHeight="1">
      <x:c r="A382" s="300"/>
      <x:c r="B382" s="300"/>
      <x:c r="C382" s="300"/>
      <x:c r="D382" s="300"/>
      <x:c r="E382" s="300"/>
      <x:c r="F382" s="300"/>
      <x:c r="G382" s="300"/>
      <x:c r="H382" s="300"/>
      <x:c r="I382" s="300"/>
      <x:c r="J382" s="300"/>
      <x:c r="K382" s="300"/>
      <x:c r="L382" s="300"/>
      <x:c r="M382" s="300"/>
      <x:c r="N382" s="300"/>
    </x:row>
    <x:row r="383" ht="22" customHeight="1">
      <x:c r="A383" s="300"/>
      <x:c r="B383" s="300"/>
      <x:c r="C383" s="300"/>
      <x:c r="D383" s="300"/>
      <x:c r="E383" s="300"/>
      <x:c r="F383" s="300"/>
      <x:c r="G383" s="300"/>
      <x:c r="H383" s="300"/>
      <x:c r="I383" s="300"/>
      <x:c r="J383" s="300"/>
      <x:c r="K383" s="300"/>
      <x:c r="L383" s="300"/>
      <x:c r="M383" s="300"/>
      <x:c r="N383" s="300"/>
    </x:row>
    <x:row r="384" ht="22" customHeight="1">
      <x:c r="A384" s="300"/>
      <x:c r="B384" s="300"/>
      <x:c r="C384" s="300"/>
      <x:c r="D384" s="300"/>
      <x:c r="E384" s="300"/>
      <x:c r="F384" s="300"/>
      <x:c r="G384" s="300"/>
      <x:c r="H384" s="300"/>
      <x:c r="I384" s="300"/>
      <x:c r="J384" s="300"/>
      <x:c r="K384" s="300"/>
      <x:c r="L384" s="300"/>
      <x:c r="M384" s="300"/>
      <x:c r="N384" s="300"/>
    </x:row>
    <x:row r="385" ht="22" customHeight="1">
      <x:c r="A385" s="300"/>
      <x:c r="B385" s="300"/>
      <x:c r="C385" s="300"/>
      <x:c r="D385" s="300"/>
      <x:c r="E385" s="300"/>
      <x:c r="F385" s="300"/>
      <x:c r="G385" s="300"/>
      <x:c r="H385" s="300"/>
      <x:c r="I385" s="300"/>
      <x:c r="J385" s="300"/>
      <x:c r="K385" s="300"/>
      <x:c r="L385" s="300"/>
      <x:c r="M385" s="300"/>
      <x:c r="N385" s="300"/>
    </x:row>
    <x:row r="386" ht="22" customHeight="1">
      <x:c r="A386" s="300"/>
      <x:c r="B386" s="300"/>
      <x:c r="C386" s="300"/>
      <x:c r="D386" s="300"/>
      <x:c r="E386" s="300"/>
      <x:c r="F386" s="300"/>
      <x:c r="G386" s="300"/>
      <x:c r="H386" s="300"/>
      <x:c r="I386" s="300"/>
      <x:c r="J386" s="300"/>
      <x:c r="K386" s="300"/>
      <x:c r="L386" s="300"/>
      <x:c r="M386" s="300"/>
      <x:c r="N386" s="300"/>
    </x:row>
    <x:row r="387" ht="22" customHeight="1">
      <x:c r="A387" s="300"/>
      <x:c r="B387" s="300"/>
      <x:c r="C387" s="300"/>
      <x:c r="D387" s="300"/>
      <x:c r="E387" s="300"/>
      <x:c r="F387" s="300"/>
      <x:c r="G387" s="300"/>
      <x:c r="H387" s="300"/>
      <x:c r="I387" s="300"/>
      <x:c r="J387" s="300"/>
      <x:c r="K387" s="300"/>
      <x:c r="L387" s="300"/>
      <x:c r="M387" s="300"/>
      <x:c r="N387" s="300"/>
    </x:row>
    <x:row r="388" ht="22" customHeight="1">
      <x:c r="A388" s="300"/>
      <x:c r="B388" s="300"/>
      <x:c r="C388" s="300"/>
      <x:c r="D388" s="300"/>
      <x:c r="E388" s="300"/>
      <x:c r="F388" s="300"/>
      <x:c r="G388" s="300"/>
      <x:c r="H388" s="300"/>
      <x:c r="I388" s="300"/>
      <x:c r="J388" s="300"/>
      <x:c r="K388" s="300"/>
      <x:c r="L388" s="300"/>
      <x:c r="M388" s="300"/>
      <x:c r="N388" s="300"/>
    </x:row>
    <x:row r="389" ht="22" customHeight="1">
      <x:c r="A389" s="300"/>
      <x:c r="B389" s="300"/>
      <x:c r="C389" s="300"/>
      <x:c r="D389" s="300"/>
      <x:c r="E389" s="300"/>
      <x:c r="F389" s="300"/>
      <x:c r="G389" s="300"/>
      <x:c r="H389" s="300"/>
      <x:c r="I389" s="300"/>
      <x:c r="J389" s="300"/>
      <x:c r="K389" s="300"/>
      <x:c r="L389" s="300"/>
      <x:c r="M389" s="300"/>
      <x:c r="N389" s="300"/>
    </x:row>
    <x:row r="390" ht="22" customHeight="1">
      <x:c r="A390" s="300"/>
      <x:c r="B390" s="300"/>
      <x:c r="C390" s="300"/>
      <x:c r="D390" s="300"/>
      <x:c r="E390" s="300"/>
      <x:c r="F390" s="300"/>
      <x:c r="G390" s="300"/>
      <x:c r="H390" s="300"/>
      <x:c r="I390" s="300"/>
      <x:c r="J390" s="300"/>
      <x:c r="K390" s="300"/>
      <x:c r="L390" s="300"/>
      <x:c r="M390" s="300"/>
      <x:c r="N390" s="300"/>
    </x:row>
    <x:row r="391" ht="22" customHeight="1">
      <x:c r="A391" s="300"/>
      <x:c r="B391" s="300"/>
      <x:c r="C391" s="300"/>
      <x:c r="D391" s="300"/>
      <x:c r="E391" s="300"/>
      <x:c r="F391" s="300"/>
      <x:c r="G391" s="300"/>
      <x:c r="H391" s="300"/>
      <x:c r="I391" s="300"/>
      <x:c r="J391" s="300"/>
      <x:c r="K391" s="300"/>
      <x:c r="L391" s="300"/>
      <x:c r="M391" s="300"/>
      <x:c r="N391" s="300"/>
    </x:row>
    <x:row r="392" ht="22" customHeight="1">
      <x:c r="A392" s="300"/>
      <x:c r="B392" s="300"/>
      <x:c r="C392" s="300"/>
      <x:c r="D392" s="300"/>
      <x:c r="E392" s="300"/>
      <x:c r="F392" s="300"/>
      <x:c r="G392" s="300"/>
      <x:c r="H392" s="300"/>
      <x:c r="I392" s="300"/>
      <x:c r="J392" s="300"/>
      <x:c r="K392" s="300"/>
      <x:c r="L392" s="300"/>
      <x:c r="M392" s="300"/>
      <x:c r="N392" s="300"/>
    </x:row>
    <x:row r="393" ht="22" customHeight="1">
      <x:c r="A393" s="300"/>
      <x:c r="B393" s="300"/>
      <x:c r="C393" s="300"/>
      <x:c r="D393" s="300"/>
      <x:c r="E393" s="300"/>
      <x:c r="F393" s="300"/>
      <x:c r="G393" s="300"/>
      <x:c r="H393" s="300"/>
      <x:c r="I393" s="300"/>
      <x:c r="J393" s="300"/>
      <x:c r="K393" s="300"/>
      <x:c r="L393" s="300"/>
      <x:c r="M393" s="300"/>
      <x:c r="N393" s="300"/>
    </x:row>
    <x:row r="394" ht="22" customHeight="1">
      <x:c r="A394" s="300"/>
      <x:c r="B394" s="300"/>
      <x:c r="C394" s="300"/>
      <x:c r="D394" s="300"/>
      <x:c r="E394" s="300"/>
      <x:c r="F394" s="300"/>
      <x:c r="G394" s="300"/>
      <x:c r="H394" s="300"/>
      <x:c r="I394" s="300"/>
      <x:c r="J394" s="300"/>
      <x:c r="K394" s="300"/>
      <x:c r="L394" s="300"/>
      <x:c r="M394" s="300"/>
      <x:c r="N394" s="300"/>
    </x:row>
    <x:row r="395" ht="22" customHeight="1">
      <x:c r="A395" s="300"/>
      <x:c r="B395" s="300"/>
      <x:c r="C395" s="300"/>
      <x:c r="D395" s="300"/>
      <x:c r="E395" s="300"/>
      <x:c r="F395" s="300"/>
      <x:c r="G395" s="300"/>
      <x:c r="H395" s="300"/>
      <x:c r="I395" s="300"/>
      <x:c r="J395" s="300"/>
      <x:c r="K395" s="300"/>
      <x:c r="L395" s="300"/>
      <x:c r="M395" s="300"/>
      <x:c r="N395" s="300"/>
    </x:row>
    <x:row r="396" ht="22" customHeight="1">
      <x:c r="A396" s="300"/>
      <x:c r="B396" s="300"/>
      <x:c r="C396" s="300"/>
      <x:c r="D396" s="300"/>
      <x:c r="E396" s="300"/>
      <x:c r="F396" s="300"/>
      <x:c r="G396" s="300"/>
      <x:c r="H396" s="300"/>
      <x:c r="I396" s="300"/>
      <x:c r="J396" s="300"/>
      <x:c r="K396" s="300"/>
      <x:c r="L396" s="300"/>
      <x:c r="M396" s="300"/>
      <x:c r="N396" s="300"/>
    </x:row>
    <x:row r="397" ht="22" customHeight="1">
      <x:c r="A397" s="300"/>
      <x:c r="B397" s="300"/>
      <x:c r="C397" s="300"/>
      <x:c r="D397" s="300"/>
      <x:c r="E397" s="300"/>
      <x:c r="F397" s="300"/>
      <x:c r="G397" s="300"/>
      <x:c r="H397" s="300"/>
      <x:c r="I397" s="300"/>
      <x:c r="J397" s="300"/>
      <x:c r="K397" s="300"/>
      <x:c r="L397" s="300"/>
      <x:c r="M397" s="300"/>
      <x:c r="N397" s="300"/>
    </x:row>
    <x:row r="398" ht="22" customHeight="1">
      <x:c r="A398" s="300"/>
      <x:c r="B398" s="300"/>
      <x:c r="C398" s="300"/>
      <x:c r="D398" s="300"/>
      <x:c r="E398" s="300"/>
      <x:c r="F398" s="300"/>
      <x:c r="G398" s="300"/>
      <x:c r="H398" s="300"/>
      <x:c r="I398" s="300"/>
      <x:c r="J398" s="300"/>
      <x:c r="K398" s="300"/>
      <x:c r="L398" s="300"/>
      <x:c r="M398" s="300"/>
      <x:c r="N398" s="300"/>
    </x:row>
    <x:row r="399" ht="22" customHeight="1">
      <x:c r="A399" s="300"/>
      <x:c r="B399" s="300"/>
      <x:c r="C399" s="300"/>
      <x:c r="D399" s="300"/>
      <x:c r="E399" s="300"/>
      <x:c r="F399" s="300"/>
      <x:c r="G399" s="300"/>
      <x:c r="H399" s="300"/>
      <x:c r="I399" s="300"/>
      <x:c r="J399" s="300"/>
      <x:c r="K399" s="300"/>
      <x:c r="L399" s="300"/>
      <x:c r="M399" s="300"/>
      <x:c r="N399" s="300"/>
    </x:row>
    <x:row r="400" ht="22" customHeight="1">
      <x:c r="A400" s="300"/>
      <x:c r="B400" s="300"/>
      <x:c r="C400" s="300"/>
      <x:c r="D400" s="300"/>
      <x:c r="E400" s="300"/>
      <x:c r="F400" s="300"/>
      <x:c r="G400" s="300"/>
      <x:c r="H400" s="300"/>
      <x:c r="I400" s="300"/>
      <x:c r="J400" s="300"/>
      <x:c r="K400" s="300"/>
      <x:c r="L400" s="300"/>
      <x:c r="M400" s="300"/>
      <x:c r="N400" s="300"/>
    </x:row>
  </x:sheetData>
  <x:mergeCells>
    <x:mergeCell ref="A2:H2"/>
    <x:mergeCell ref="A3:H3"/>
    <x:mergeCell ref="D5:H5"/>
    <x:mergeCell ref="D6:G6"/>
    <x:mergeCell ref="D7:G7"/>
    <x:mergeCell ref="D8:G8"/>
    <x:mergeCell ref="D9:G9"/>
    <x:mergeCell ref="D10:G10"/>
    <x:mergeCell ref="D11:G11"/>
    <x:mergeCell ref="D13:H13"/>
    <x:mergeCell ref="A15:H15"/>
    <x:mergeCell ref="A16:H16"/>
    <x:mergeCell ref="A33:H33"/>
    <x:mergeCell ref="A34:H34"/>
    <x:mergeCell ref="A35:H35"/>
    <x:mergeCell ref="A36:H36"/>
    <x:mergeCell ref="A37:H37"/>
    <x:mergeCell ref="A38:H38"/>
    <x:mergeCell ref="A39:H39"/>
    <x:mergeCell ref="A40:H40"/>
    <x:mergeCell ref="A41:H41"/>
    <x:mergeCell ref="A42:H42"/>
    <x:mergeCell ref="A46:H46"/>
    <x:mergeCell ref="A60:N60"/>
    <x:mergeCell ref="A47:H47"/>
    <x:mergeCell ref="A61:N61"/>
    <x:mergeCell ref="A48:H48"/>
    <x:mergeCell ref="A62:N62"/>
    <x:mergeCell ref="A49:H49"/>
    <x:mergeCell ref="A63:N63"/>
    <x:mergeCell ref="A50:H50"/>
    <x:mergeCell ref="A64:N64"/>
    <x:mergeCell ref="A51:H51"/>
    <x:mergeCell ref="A65:N65"/>
    <x:mergeCell ref="A52:H52"/>
    <x:mergeCell ref="A66:N66"/>
    <x:mergeCell ref="A53:H53"/>
    <x:mergeCell ref="A67:N67"/>
    <x:mergeCell ref="A54:H54"/>
    <x:mergeCell ref="A68:N68"/>
    <x:mergeCell ref="A55:H55"/>
    <x:mergeCell ref="A69:N69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B5CBD9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6" hidden="0" customWidth="1"/>
    <x:col min="4" max="4" width="23" hidden="0" customWidth="1"/>
    <x:col min="5" max="5" width="17" hidden="0" customWidth="1"/>
    <x:col min="6" max="6" width="17" hidden="0" customWidth="1"/>
    <x:col min="7" max="7" width="23" hidden="0" customWidth="1"/>
    <x:col min="8" max="8" width="17" hidden="0" customWidth="1"/>
    <x:col min="9" max="9" width="30" hidden="0" customWidth="1"/>
    <x:col min="10" max="10" width="48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22" customHeight="1">
      <x:c r="A1" s="332" t="str">
        <x:v>Quarterly source inputs | fetched 01-Oct-2026</x:v>
      </x:c>
      <x:c r="B1" s="300"/>
      <x:c r="C1" s="300"/>
      <x:c r="D1" s="300"/>
      <x:c r="E1" s="300"/>
      <x:c r="F1" s="300"/>
      <x:c r="G1" s="300"/>
      <x:c r="H1" s="300"/>
      <x:c r="I1" s="300"/>
      <x:c r="J1" s="300"/>
      <x:c r="K1" s="300"/>
      <x:c r="L1" s="300"/>
      <x:c r="M1" s="300"/>
      <x:c r="N1" s="300"/>
    </x:row>
    <x:row r="2" ht="36" customHeight="1">
      <x:c r="A2" s="323" t="str">
        <x:v>Quarter</x:v>
      </x:c>
      <x:c r="B2" s="323" t="str">
        <x:v>Ethylene kt</x:v>
      </x:c>
      <x:c r="C2" s="323" t="str">
        <x:v>PBR mbpd</x:v>
      </x:c>
      <x:c r="D2" s="323" t="str">
        <x:v>Days</x:v>
      </x:c>
      <x:c r="E2" s="323" t="str">
        <x:v>Year</x:v>
      </x:c>
      <x:c r="F2" s="323" t="str">
        <x:v>Customs kt</x:v>
      </x:c>
      <x:c r="G2" s="323" t="str">
        <x:v>National kt</x:v>
      </x:c>
      <x:c r="H2" s="323" t="str">
        <x:v>Valuation cell</x:v>
      </x:c>
      <x:c r="I2" s="323" t="str">
        <x:v>PBR source</x:v>
      </x:c>
      <x:c r="J2" s="323" t="str">
        <x:v>Customs status</x:v>
      </x:c>
      <x:c r="K2" s="323" t="str">
        <x:v>ANP m³</x:v>
      </x:c>
      <x:c r="L2" s="300"/>
      <x:c r="M2" s="300"/>
      <x:c r="N2" s="300"/>
    </x:row>
    <x:row r="3" ht="22" customHeight="1">
      <x:c r="A3" s="300" t="str">
        <x:v>2024 Q1</x:v>
      </x:c>
      <x:c r="B3" s="318" t="n">
        <x:v>688.435756386</x:v>
      </x:c>
      <x:c r="C3" s="18" t="n">
        <x:v>65</x:v>
      </x:c>
      <x:c r="D3" s="18" t="n">
        <x:v>91</x:v>
      </x:c>
      <x:c r="E3" s="18" t="n">
        <x:v>2024</x:v>
      </x:c>
      <x:c r="F3" s="335" t="n">
        <x:f>SUMIFS(C17:C46,A17:A46,E3,E17:E46,1)</x:f>
        <x:v>961.428401</x:v>
      </x:c>
      <x:c r="G3" s="335" t="n">
        <x:f>SUMIFS(D17:D46,A17:A46,E3,E17:E46,1)*'Quarterly Reconciliation'!$B$6/1000</x:f>
        <x:v>1004.407358795</x:v>
      </x:c>
      <x:c r="H3" s="300" t="str">
        <x:v>AS26</x:v>
      </x:c>
      <x:c r="I3" s="300" t="str">
        <x:v>Petrobras 2Q24 p6</x:v>
      </x:c>
      <x:c r="J3" s="300" t="str">
        <x:v>Reported customs kg</x:v>
      </x:c>
      <x:c r="K3" s="300" t="n">
        <x:v>1375900.4915</x:v>
      </x:c>
      <x:c r="L3" s="300"/>
      <x:c r="M3" s="300"/>
      <x:c r="N3" s="300"/>
    </x:row>
    <x:row r="4" ht="22" customHeight="1">
      <x:c r="A4" s="300" t="str">
        <x:v>2024 Q2</x:v>
      </x:c>
      <x:c r="B4" s="318" t="n">
        <x:v>662.1753265360001</x:v>
      </x:c>
      <x:c r="C4" s="18" t="n">
        <x:v>70</x:v>
      </x:c>
      <x:c r="D4" s="18" t="n">
        <x:v>91</x:v>
      </x:c>
      <x:c r="E4" s="18" t="n">
        <x:v>2024</x:v>
      </x:c>
      <x:c r="F4" s="335" t="n">
        <x:f>SUMIFS(C17:C46,A17:A46,E4,E17:E46,2)</x:f>
        <x:v>974.0181280000002</x:v>
      </x:c>
      <x:c r="G4" s="335" t="n">
        <x:f>SUMIFS(D17:D46,A17:A46,E4,E17:E46,2)*'Quarterly Reconciliation'!$B$6/1000</x:f>
        <x:v>1016.709327044</x:v>
      </x:c>
      <x:c r="H4" s="300" t="str">
        <x:v>AT26</x:v>
      </x:c>
      <x:c r="I4" s="300" t="str">
        <x:v>Petrobras 2Q24 p6</x:v>
      </x:c>
      <x:c r="J4" s="300" t="str">
        <x:v>Reported customs kg</x:v>
      </x:c>
      <x:c r="K4" s="300" t="n">
        <x:v>1392752.5028</x:v>
      </x:c>
      <x:c r="L4" s="300"/>
      <x:c r="M4" s="300"/>
      <x:c r="N4" s="300"/>
    </x:row>
    <x:row r="5" ht="22" customHeight="1">
      <x:c r="A5" s="300" t="str">
        <x:v>2024 Q3</x:v>
      </x:c>
      <x:c r="B5" s="318" t="n">
        <x:v>686.750661722</x:v>
      </x:c>
      <x:c r="C5" s="18" t="n">
        <x:v>70</x:v>
      </x:c>
      <x:c r="D5" s="18" t="n">
        <x:v>92</x:v>
      </x:c>
      <x:c r="E5" s="18" t="n">
        <x:v>2024</x:v>
      </x:c>
      <x:c r="F5" s="335" t="n">
        <x:f>SUMIFS(C17:C46,A17:A46,E5,E17:E46,3)</x:f>
        <x:v>947.7820800000001</x:v>
      </x:c>
      <x:c r="G5" s="335" t="n">
        <x:f>SUMIFS(D17:D46,A17:A46,E5,E17:E46,3)*'Quarterly Reconciliation'!$B$6/1000</x:f>
        <x:v>990.523587783</x:v>
      </x:c>
      <x:c r="H5" s="300" t="str">
        <x:v>AU26</x:v>
      </x:c>
      <x:c r="I5" s="300" t="str">
        <x:v>Petrobras 3Q25 / 4Q25</x:v>
      </x:c>
      <x:c r="J5" s="300" t="str">
        <x:v>Reported customs kg</x:v>
      </x:c>
      <x:c r="K5" s="300" t="n">
        <x:v>1356881.6271</x:v>
      </x:c>
      <x:c r="L5" s="300"/>
      <x:c r="M5" s="300"/>
      <x:c r="N5" s="300"/>
    </x:row>
    <x:row r="6" ht="22" customHeight="1">
      <x:c r="A6" s="300" t="str">
        <x:v>2024 Q4</x:v>
      </x:c>
      <x:c r="B6" s="318" t="n">
        <x:v>655.7079614959999</x:v>
      </x:c>
      <x:c r="C6" s="18" t="n">
        <x:v>75</x:v>
      </x:c>
      <x:c r="D6" s="18" t="n">
        <x:v>92</x:v>
      </x:c>
      <x:c r="E6" s="18" t="n">
        <x:v>2024</x:v>
      </x:c>
      <x:c r="F6" s="335" t="n">
        <x:f>SUMIFS(C17:C46,A17:A46,E6,E17:E46,4)</x:f>
        <x:v>681.0954810000001</x:v>
      </x:c>
      <x:c r="G6" s="335" t="n">
        <x:f>SUMIFS(D17:D46,A17:A46,E6,E17:E46,4)*'Quarterly Reconciliation'!$B$6/1000</x:f>
        <x:v>710.6239634660001</x:v>
      </x:c>
      <x:c r="H6" s="300" t="str">
        <x:v>AV26</x:v>
      </x:c>
      <x:c r="I6" s="300" t="str">
        <x:v>Petrobras 3Q25 / 4Q25</x:v>
      </x:c>
      <x:c r="J6" s="300" t="str">
        <x:v>Reported customs kg</x:v>
      </x:c>
      <x:c r="K6" s="300" t="n">
        <x:v>973457.4842000002</x:v>
      </x:c>
      <x:c r="L6" s="300"/>
      <x:c r="M6" s="300"/>
      <x:c r="N6" s="300"/>
    </x:row>
    <x:row r="7" ht="22" customHeight="1">
      <x:c r="A7" s="300" t="str">
        <x:v>2025 Q1</x:v>
      </x:c>
      <x:c r="B7" s="318" t="n">
        <x:v>686.492779328</x:v>
      </x:c>
      <x:c r="C7" s="18" t="n">
        <x:v>62</x:v>
      </x:c>
      <x:c r="D7" s="18" t="n">
        <x:v>90</x:v>
      </x:c>
      <x:c r="E7" s="18" t="n">
        <x:v>2025</x:v>
      </x:c>
      <x:c r="F7" s="335" t="n">
        <x:f>SUMIFS(C17:C46,A17:A46,E7,E17:E46,1)</x:f>
        <x:v>938.5768310000001</x:v>
      </x:c>
      <x:c r="G7" s="335" t="n">
        <x:f>SUMIFS(D17:D46,A17:A46,E7,E17:E46,1)*'Quarterly Reconciliation'!$B$6/1000</x:f>
        <x:v>978.8050021</x:v>
      </x:c>
      <x:c r="H7" s="300" t="str">
        <x:v>AW26</x:v>
      </x:c>
      <x:c r="I7" s="300" t="str">
        <x:v>Petrobras 1Q26</x:v>
      </x:c>
      <x:c r="J7" s="300" t="str">
        <x:v>Reported customs kg</x:v>
      </x:c>
      <x:c r="K7" s="300" t="n">
        <x:v>1340828.77</x:v>
      </x:c>
      <x:c r="L7" s="300"/>
      <x:c r="M7" s="300"/>
      <x:c r="N7" s="300"/>
    </x:row>
    <x:row r="8" ht="22" customHeight="1">
      <x:c r="A8" s="300" t="str">
        <x:v>2025 Q2</x:v>
      </x:c>
      <x:c r="B8" s="318" t="n">
        <x:v>693.2104551699999</x:v>
      </x:c>
      <x:c r="C8" s="18" t="n">
        <x:v>71</x:v>
      </x:c>
      <x:c r="D8" s="18" t="n">
        <x:v>91</x:v>
      </x:c>
      <x:c r="E8" s="18" t="n">
        <x:v>2025</x:v>
      </x:c>
      <x:c r="F8" s="335" t="n">
        <x:f>SUMIFS(C17:C46,A17:A46,E8,E17:E46,2)</x:f>
        <x:v>524.258977</x:v>
      </x:c>
      <x:c r="G8" s="335" t="n">
        <x:f>SUMIFS(D17:D46,A17:A46,E8,E17:E46,2)*'Quarterly Reconciliation'!$B$6/1000</x:f>
        <x:v>731.435137295</x:v>
      </x:c>
      <x:c r="H8" s="300" t="str">
        <x:v>AX26</x:v>
      </x:c>
      <x:c r="I8" s="300" t="str">
        <x:v>Petrobras 3Q25 / 4Q25</x:v>
      </x:c>
      <x:c r="J8" s="300" t="str">
        <x:v>Coverage anomaly; exclude from calibration</x:v>
      </x:c>
      <x:c r="K8" s="300" t="n">
        <x:v>1001965.9414999998</x:v>
      </x:c>
      <x:c r="L8" s="300"/>
      <x:c r="M8" s="300"/>
      <x:c r="N8" s="300"/>
    </x:row>
    <x:row r="9" ht="22" customHeight="1">
      <x:c r="A9" s="300" t="str">
        <x:v>2025 Q3</x:v>
      </x:c>
      <x:c r="B9" s="318" t="n">
        <x:v>618.635238827</x:v>
      </x:c>
      <x:c r="C9" s="18" t="n">
        <x:v>75</x:v>
      </x:c>
      <x:c r="D9" s="18" t="n">
        <x:v>92</x:v>
      </x:c>
      <x:c r="E9" s="18" t="n">
        <x:v>2025</x:v>
      </x:c>
      <x:c r="F9" s="335" t="n">
        <x:f>SUMIFS(C17:C46,A17:A46,E9,E17:E46,3)</x:f>
        <x:v>151.241376</x:v>
      </x:c>
      <x:c r="G9" s="335" t="n">
        <x:f>SUMIFS(D17:D46,A17:A46,E9,E17:E46,3)*'Quarterly Reconciliation'!$B$6/1000</x:f>
        <x:v>814.6424488</x:v>
      </x:c>
      <x:c r="H9" s="300" t="str">
        <x:v>AY26</x:v>
      </x:c>
      <x:c r="I9" s="300" t="str">
        <x:v>Petrobras 3Q25 / 4Q25</x:v>
      </x:c>
      <x:c r="J9" s="300" t="str">
        <x:v>Coverage anomaly; exclude from calibration</x:v>
      </x:c>
      <x:c r="K9" s="300" t="n">
        <x:v>1115948.56</x:v>
      </x:c>
      <x:c r="L9" s="300"/>
      <x:c r="M9" s="300"/>
      <x:c r="N9" s="300"/>
    </x:row>
    <x:row r="10" ht="22" customHeight="1">
      <x:c r="A10" s="300" t="str">
        <x:v>2025 Q4</x:v>
      </x:c>
      <x:c r="B10" s="318" t="n">
        <x:v>560.841689807</x:v>
      </x:c>
      <x:c r="C10" s="18" t="n">
        <x:v>54</x:v>
      </x:c>
      <x:c r="D10" s="18" t="n">
        <x:v>92</x:v>
      </x:c>
      <x:c r="E10" s="18" t="n">
        <x:v>2025</x:v>
      </x:c>
      <x:c r="F10" s="335" t="str">
        <x:f>"n.a."</x:f>
        <x:v>n.a.</x:v>
      </x:c>
      <x:c r="G10" s="335" t="n">
        <x:f>SUMIFS(D17:D46,A17:A46,E10,E17:E46,4)*'Quarterly Reconciliation'!$B$6/1000</x:f>
        <x:v>698.264626561</x:v>
      </x:c>
      <x:c r="H10" s="300" t="str">
        <x:v>AZ26</x:v>
      </x:c>
      <x:c r="I10" s="300" t="str">
        <x:v>Petrobras 3Q25 / 4Q25</x:v>
      </x:c>
      <x:c r="J10" s="300" t="str">
        <x:v>No naphtha records; do not treat as zero</x:v>
      </x:c>
      <x:c r="K10" s="300" t="n">
        <x:v>956526.8857</x:v>
      </x:c>
      <x:c r="L10" s="300"/>
      <x:c r="M10" s="300"/>
      <x:c r="N10" s="300"/>
    </x:row>
    <x:row r="11" ht="22" customHeight="1">
      <x:c r="A11" s="300" t="str">
        <x:v>2026 Q1</x:v>
      </x:c>
      <x:c r="B11" s="318" t="n">
        <x:v>635.670935997</x:v>
      </x:c>
      <x:c r="C11" s="18" t="n">
        <x:v>88</x:v>
      </x:c>
      <x:c r="D11" s="18" t="n">
        <x:v>90</x:v>
      </x:c>
      <x:c r="E11" s="18" t="n">
        <x:v>2026</x:v>
      </x:c>
      <x:c r="F11" s="335" t="n">
        <x:f>SUMIFS(C17:C46,A17:A46,E11,E17:E46,1)</x:f>
        <x:v>911.8362460000001</x:v>
      </x:c>
      <x:c r="G11" s="335" t="n">
        <x:f>SUMIFS(D17:D46,A17:A46,E11,E17:E46,1)*'Quarterly Reconciliation'!$B$6/1000</x:f>
        <x:v>950.9149422779999</x:v>
      </x:c>
      <x:c r="H11" s="300" t="str">
        <x:v>BA26</x:v>
      </x:c>
      <x:c r="I11" s="300" t="str">
        <x:v>Petrobras 2Q26</x:v>
      </x:c>
      <x:c r="J11" s="300" t="str">
        <x:v>Reported customs kg</x:v>
      </x:c>
      <x:c r="K11" s="300" t="n">
        <x:v>1302623.2086</x:v>
      </x:c>
      <x:c r="L11" s="300"/>
      <x:c r="M11" s="300"/>
      <x:c r="N11" s="300"/>
    </x:row>
    <x:row r="12" ht="22" customHeight="1">
      <x:c r="A12" s="300" t="str">
        <x:v>2026 Q2</x:v>
      </x:c>
      <x:c r="B12" s="318" t="n">
        <x:v>653.361994492</x:v>
      </x:c>
      <x:c r="C12" s="18" t="n">
        <x:v>86</x:v>
      </x:c>
      <x:c r="D12" s="18" t="n">
        <x:v>91</x:v>
      </x:c>
      <x:c r="E12" s="18" t="n">
        <x:v>2026</x:v>
      </x:c>
      <x:c r="F12" s="335" t="n">
        <x:f>SUMIFS(C17:C46,A17:A46,E12,E17:E46,2)</x:f>
        <x:v>507.359933</x:v>
      </x:c>
      <x:c r="G12" s="335" t="n">
        <x:f>SUMIFS(D17:D46,A17:A46,E12,E17:E46,2)*'Quarterly Reconciliation'!$B$6/1000</x:f>
        <x:v>529.1039301390001</x:v>
      </x:c>
      <x:c r="H12" s="300" t="str">
        <x:v>BB26</x:v>
      </x:c>
      <x:c r="I12" s="300" t="str">
        <x:v>Petrobras 2Q26</x:v>
      </x:c>
      <x:c r="J12" s="300" t="str">
        <x:v>Reported customs kg</x:v>
      </x:c>
      <x:c r="K12" s="300" t="n">
        <x:v>724799.9042999999</x:v>
      </x:c>
      <x:c r="L12" s="300"/>
      <x:c r="M12" s="300"/>
      <x:c r="N12" s="300"/>
    </x:row>
    <x:row r="13" ht="22" customHeight="1">
      <x:c r="A13" s="300"/>
      <x:c r="B13" s="300"/>
      <x:c r="C13" s="300"/>
      <x:c r="D13" s="300"/>
      <x:c r="E13" s="300"/>
      <x:c r="F13" s="300"/>
      <x:c r="G13" s="300"/>
      <x:c r="H13" s="300"/>
      <x:c r="I13" s="300"/>
      <x:c r="J13" s="300"/>
      <x:c r="K13" s="300"/>
      <x:c r="L13" s="300"/>
      <x:c r="M13" s="300"/>
      <x:c r="N13" s="300"/>
    </x:row>
    <x:row r="14" ht="22" customHeight="1">
      <x:c r="A14" s="300" t="str">
        <x:v>Monthly source aggregates: actual importer kg / 1,000,000; national m³ uses the density assumption on reconciliation tab.</x:v>
      </x:c>
      <x:c r="B14" s="300"/>
      <x:c r="C14" s="300"/>
      <x:c r="D14" s="300"/>
      <x:c r="E14" s="300"/>
      <x:c r="F14" s="300"/>
      <x:c r="G14" s="300"/>
      <x:c r="H14" s="300"/>
      <x:c r="I14" s="300"/>
      <x:c r="J14" s="300"/>
      <x:c r="K14" s="300"/>
      <x:c r="L14" s="300"/>
      <x:c r="M14" s="300"/>
      <x:c r="N14" s="300"/>
    </x:row>
    <x:row r="15" ht="22" customHeight="1">
      <x:c r="A15" s="300"/>
      <x:c r="B15" s="300"/>
      <x:c r="C15" s="300"/>
      <x:c r="D15" s="300"/>
      <x:c r="E15" s="300"/>
      <x:c r="F15" s="300"/>
      <x:c r="G15" s="300"/>
      <x:c r="H15" s="300"/>
      <x:c r="I15" s="300"/>
      <x:c r="J15" s="300"/>
      <x:c r="K15" s="300"/>
      <x:c r="L15" s="300"/>
      <x:c r="M15" s="300"/>
      <x:c r="N15" s="300"/>
    </x:row>
    <x:row r="16" ht="36" customHeight="1">
      <x:c r="A16" s="323" t="str">
        <x:v>Year</x:v>
      </x:c>
      <x:c r="B16" s="323" t="str">
        <x:v>Month</x:v>
      </x:c>
      <x:c r="C16" s="323" t="str">
        <x:v>Braskem customs kt</x:v>
      </x:c>
      <x:c r="D16" s="323" t="str">
        <x:v>ANP national m³</x:v>
      </x:c>
      <x:c r="E16" s="323" t="str">
        <x:v>Quarter</x:v>
      </x:c>
      <x:c r="F16" s="323" t="str">
        <x:v>Coverage</x:v>
      </x:c>
      <x:c r="G16" s="300"/>
      <x:c r="H16" s="300"/>
      <x:c r="I16" s="300"/>
      <x:c r="J16" s="300"/>
      <x:c r="K16" s="300"/>
      <x:c r="L16" s="300"/>
      <x:c r="M16" s="300"/>
      <x:c r="N16" s="300"/>
    </x:row>
    <x:row r="17" ht="22" customHeight="1">
      <x:c r="A17" s="300" t="n">
        <x:v>2024</x:v>
      </x:c>
      <x:c r="B17" s="300" t="n">
        <x:v>1</x:v>
      </x:c>
      <x:c r="C17" s="300" t="n">
        <x:v>349.92342999999994</x:v>
      </x:c>
      <x:c r="D17" s="300" t="n">
        <x:v>500968.7086</x:v>
      </x:c>
      <x:c r="E17" s="300" t="n">
        <x:v>1</x:v>
      </x:c>
      <x:c r="F17" s="300" t="str">
        <x:v>Reported records</x:v>
      </x:c>
      <x:c r="G17" s="300"/>
      <x:c r="H17" s="300"/>
      <x:c r="I17" s="300"/>
      <x:c r="J17" s="300"/>
      <x:c r="K17" s="300"/>
      <x:c r="L17" s="300"/>
      <x:c r="M17" s="300"/>
      <x:c r="N17" s="300"/>
    </x:row>
    <x:row r="18" ht="22" customHeight="1">
      <x:c r="A18" s="300" t="n">
        <x:v>2024</x:v>
      </x:c>
      <x:c r="B18" s="300" t="n">
        <x:v>2</x:v>
      </x:c>
      <x:c r="C18" s="300" t="n">
        <x:v>252.674151</x:v>
      </x:c>
      <x:c r="D18" s="300" t="n">
        <x:v>361383.1943</x:v>
      </x:c>
      <x:c r="E18" s="300" t="n">
        <x:v>1</x:v>
      </x:c>
      <x:c r="F18" s="300" t="str">
        <x:v>Reported records</x:v>
      </x:c>
      <x:c r="G18" s="300"/>
      <x:c r="H18" s="300"/>
      <x:c r="I18" s="300"/>
      <x:c r="J18" s="300"/>
      <x:c r="K18" s="300"/>
      <x:c r="L18" s="300"/>
      <x:c r="M18" s="300"/>
      <x:c r="N18" s="300"/>
    </x:row>
    <x:row r="19" ht="22" customHeight="1">
      <x:c r="A19" s="300" t="n">
        <x:v>2024</x:v>
      </x:c>
      <x:c r="B19" s="300" t="n">
        <x:v>3</x:v>
      </x:c>
      <x:c r="C19" s="300" t="n">
        <x:v>358.83082</x:v>
      </x:c>
      <x:c r="D19" s="300" t="n">
        <x:v>513548.5886</x:v>
      </x:c>
      <x:c r="E19" s="300" t="n">
        <x:v>1</x:v>
      </x:c>
      <x:c r="F19" s="300" t="str">
        <x:v>Reported records</x:v>
      </x:c>
      <x:c r="G19" s="300"/>
      <x:c r="H19" s="300"/>
      <x:c r="I19" s="300"/>
      <x:c r="J19" s="300"/>
      <x:c r="K19" s="300"/>
      <x:c r="L19" s="300"/>
      <x:c r="M19" s="300"/>
      <x:c r="N19" s="300"/>
    </x:row>
    <x:row r="20" ht="22" customHeight="1">
      <x:c r="A20" s="300" t="n">
        <x:v>2024</x:v>
      </x:c>
      <x:c r="B20" s="300" t="n">
        <x:v>4</x:v>
      </x:c>
      <x:c r="C20" s="300" t="n">
        <x:v>315.23069000000004</x:v>
      </x:c>
      <x:c r="D20" s="300" t="n">
        <x:v>450673.83</x:v>
      </x:c>
      <x:c r="E20" s="300" t="n">
        <x:v>2</x:v>
      </x:c>
      <x:c r="F20" s="300" t="str">
        <x:v>Reported records</x:v>
      </x:c>
      <x:c r="G20" s="300"/>
      <x:c r="H20" s="300"/>
      <x:c r="I20" s="300"/>
      <x:c r="J20" s="300"/>
      <x:c r="K20" s="300"/>
      <x:c r="L20" s="300"/>
      <x:c r="M20" s="300"/>
      <x:c r="N20" s="300"/>
    </x:row>
    <x:row r="21" ht="22" customHeight="1">
      <x:c r="A21" s="300" t="n">
        <x:v>2024</x:v>
      </x:c>
      <x:c r="B21" s="300" t="n">
        <x:v>5</x:v>
      </x:c>
      <x:c r="C21" s="300" t="n">
        <x:v>331.620265</x:v>
      </x:c>
      <x:c r="D21" s="300" t="n">
        <x:v>473786.4271</x:v>
      </x:c>
      <x:c r="E21" s="300" t="n">
        <x:v>2</x:v>
      </x:c>
      <x:c r="F21" s="300" t="str">
        <x:v>Reported records</x:v>
      </x:c>
      <x:c r="G21" s="300"/>
      <x:c r="H21" s="300"/>
      <x:c r="I21" s="300"/>
      <x:c r="J21" s="300"/>
      <x:c r="K21" s="300"/>
      <x:c r="L21" s="300"/>
      <x:c r="M21" s="300"/>
      <x:c r="N21" s="300"/>
    </x:row>
    <x:row r="22" ht="22" customHeight="1">
      <x:c r="A22" s="300" t="n">
        <x:v>2024</x:v>
      </x:c>
      <x:c r="B22" s="300" t="n">
        <x:v>6</x:v>
      </x:c>
      <x:c r="C22" s="300" t="n">
        <x:v>327.167173</x:v>
      </x:c>
      <x:c r="D22" s="300" t="n">
        <x:v>468292.2457</x:v>
      </x:c>
      <x:c r="E22" s="300" t="n">
        <x:v>2</x:v>
      </x:c>
      <x:c r="F22" s="300" t="str">
        <x:v>Reported records</x:v>
      </x:c>
      <x:c r="G22" s="300"/>
      <x:c r="H22" s="300"/>
      <x:c r="I22" s="300"/>
      <x:c r="J22" s="300"/>
      <x:c r="K22" s="300"/>
      <x:c r="L22" s="300"/>
      <x:c r="M22" s="300"/>
      <x:c r="N22" s="300"/>
    </x:row>
    <x:row r="23" ht="22" customHeight="1">
      <x:c r="A23" s="300" t="n">
        <x:v>2024</x:v>
      </x:c>
      <x:c r="B23" s="300" t="n">
        <x:v>7</x:v>
      </x:c>
      <x:c r="C23" s="300" t="n">
        <x:v>305.547504</x:v>
      </x:c>
      <x:c r="D23" s="300" t="n">
        <x:v>437262.69</x:v>
      </x:c>
      <x:c r="E23" s="300" t="n">
        <x:v>3</x:v>
      </x:c>
      <x:c r="F23" s="300" t="str">
        <x:v>Reported records</x:v>
      </x:c>
      <x:c r="G23" s="300"/>
      <x:c r="H23" s="300"/>
      <x:c r="I23" s="300"/>
      <x:c r="J23" s="300"/>
      <x:c r="K23" s="300"/>
      <x:c r="L23" s="300"/>
      <x:c r="M23" s="300"/>
      <x:c r="N23" s="300"/>
    </x:row>
    <x:row r="24" ht="22" customHeight="1">
      <x:c r="A24" s="300" t="n">
        <x:v>2024</x:v>
      </x:c>
      <x:c r="B24" s="300" t="n">
        <x:v>8</x:v>
      </x:c>
      <x:c r="C24" s="300" t="n">
        <x:v>416.35468</x:v>
      </x:c>
      <x:c r="D24" s="300" t="n">
        <x:v>596306.6514</x:v>
      </x:c>
      <x:c r="E24" s="300" t="n">
        <x:v>3</x:v>
      </x:c>
      <x:c r="F24" s="300" t="str">
        <x:v>Reported records</x:v>
      </x:c>
      <x:c r="G24" s="300"/>
      <x:c r="H24" s="300"/>
      <x:c r="I24" s="300"/>
      <x:c r="J24" s="300"/>
      <x:c r="K24" s="300"/>
      <x:c r="L24" s="300"/>
      <x:c r="M24" s="300"/>
      <x:c r="N24" s="300"/>
    </x:row>
    <x:row r="25" ht="22" customHeight="1">
      <x:c r="A25" s="300" t="n">
        <x:v>2024</x:v>
      </x:c>
      <x:c r="B25" s="300" t="n">
        <x:v>9</x:v>
      </x:c>
      <x:c r="C25" s="300" t="n">
        <x:v>225.879896</x:v>
      </x:c>
      <x:c r="D25" s="300" t="n">
        <x:v>323312.2857</x:v>
      </x:c>
      <x:c r="E25" s="300" t="n">
        <x:v>3</x:v>
      </x:c>
      <x:c r="F25" s="300" t="str">
        <x:v>Reported records</x:v>
      </x:c>
      <x:c r="G25" s="300"/>
      <x:c r="H25" s="300"/>
      <x:c r="I25" s="300"/>
      <x:c r="J25" s="300"/>
      <x:c r="K25" s="300"/>
      <x:c r="L25" s="300"/>
      <x:c r="M25" s="300"/>
      <x:c r="N25" s="300"/>
    </x:row>
    <x:row r="26" ht="22" customHeight="1">
      <x:c r="A26" s="300" t="n">
        <x:v>2024</x:v>
      </x:c>
      <x:c r="B26" s="300" t="n">
        <x:v>10</x:v>
      </x:c>
      <x:c r="C26" s="300" t="n">
        <x:v>209.08732300000003</x:v>
      </x:c>
      <x:c r="D26" s="300" t="n">
        <x:v>299160.1157</x:v>
      </x:c>
      <x:c r="E26" s="300" t="n">
        <x:v>4</x:v>
      </x:c>
      <x:c r="F26" s="300" t="str">
        <x:v>Reported records</x:v>
      </x:c>
      <x:c r="G26" s="300"/>
      <x:c r="H26" s="300"/>
      <x:c r="I26" s="300"/>
      <x:c r="J26" s="300"/>
      <x:c r="K26" s="300"/>
      <x:c r="L26" s="300"/>
      <x:c r="M26" s="300"/>
      <x:c r="N26" s="300"/>
    </x:row>
    <x:row r="27" ht="22" customHeight="1">
      <x:c r="A27" s="300" t="n">
        <x:v>2024</x:v>
      </x:c>
      <x:c r="B27" s="300" t="n">
        <x:v>11</x:v>
      </x:c>
      <x:c r="C27" s="300" t="n">
        <x:v>159.529546</x:v>
      </x:c>
      <x:c r="D27" s="300" t="n">
        <x:v>227899.3514</x:v>
      </x:c>
      <x:c r="E27" s="300" t="n">
        <x:v>4</x:v>
      </x:c>
      <x:c r="F27" s="300" t="str">
        <x:v>Reported records</x:v>
      </x:c>
      <x:c r="G27" s="300"/>
      <x:c r="H27" s="300"/>
      <x:c r="I27" s="300"/>
      <x:c r="J27" s="300"/>
      <x:c r="K27" s="300"/>
      <x:c r="L27" s="300"/>
      <x:c r="M27" s="300"/>
      <x:c r="N27" s="300"/>
    </x:row>
    <x:row r="28" ht="22" customHeight="1">
      <x:c r="A28" s="300" t="n">
        <x:v>2024</x:v>
      </x:c>
      <x:c r="B28" s="300" t="n">
        <x:v>12</x:v>
      </x:c>
      <x:c r="C28" s="300" t="n">
        <x:v>312.478612</x:v>
      </x:c>
      <x:c r="D28" s="300" t="n">
        <x:v>446398.0171</x:v>
      </x:c>
      <x:c r="E28" s="300" t="n">
        <x:v>4</x:v>
      </x:c>
      <x:c r="F28" s="300" t="str">
        <x:v>Reported records</x:v>
      </x:c>
      <x:c r="G28" s="300"/>
      <x:c r="H28" s="300"/>
      <x:c r="I28" s="300"/>
      <x:c r="J28" s="300"/>
      <x:c r="K28" s="300"/>
      <x:c r="L28" s="300"/>
      <x:c r="M28" s="300"/>
      <x:c r="N28" s="300"/>
    </x:row>
    <x:row r="29" ht="22" customHeight="1">
      <x:c r="A29" s="300" t="n">
        <x:v>2025</x:v>
      </x:c>
      <x:c r="B29" s="300" t="n">
        <x:v>1</x:v>
      </x:c>
      <x:c r="C29" s="300" t="n">
        <x:v>444.844785</x:v>
      </x:c>
      <x:c r="D29" s="300" t="n">
        <x:v>635492.55</x:v>
      </x:c>
      <x:c r="E29" s="300" t="n">
        <x:v>1</x:v>
      </x:c>
      <x:c r="F29" s="300" t="str">
        <x:v>Reported records</x:v>
      </x:c>
      <x:c r="G29" s="300"/>
      <x:c r="H29" s="300"/>
      <x:c r="I29" s="300"/>
      <x:c r="J29" s="300"/>
      <x:c r="K29" s="300"/>
      <x:c r="L29" s="300"/>
      <x:c r="M29" s="300"/>
      <x:c r="N29" s="300"/>
    </x:row>
    <x:row r="30" ht="22" customHeight="1">
      <x:c r="A30" s="300" t="n">
        <x:v>2025</x:v>
      </x:c>
      <x:c r="B30" s="300" t="n">
        <x:v>2</x:v>
      </x:c>
      <x:c r="C30" s="300" t="n">
        <x:v>252.522557</x:v>
      </x:c>
      <x:c r="D30" s="300" t="n">
        <x:v>360751.2357</x:v>
      </x:c>
      <x:c r="E30" s="300" t="n">
        <x:v>1</x:v>
      </x:c>
      <x:c r="F30" s="300" t="str">
        <x:v>Reported records</x:v>
      </x:c>
      <x:c r="G30" s="300"/>
      <x:c r="H30" s="300"/>
      <x:c r="I30" s="300"/>
      <x:c r="J30" s="300"/>
      <x:c r="K30" s="300"/>
      <x:c r="L30" s="300"/>
      <x:c r="M30" s="300"/>
      <x:c r="N30" s="300"/>
    </x:row>
    <x:row r="31" ht="22" customHeight="1">
      <x:c r="A31" s="300" t="n">
        <x:v>2025</x:v>
      </x:c>
      <x:c r="B31" s="300" t="n">
        <x:v>3</x:v>
      </x:c>
      <x:c r="C31" s="300" t="n">
        <x:v>241.20948900000002</x:v>
      </x:c>
      <x:c r="D31" s="300" t="n">
        <x:v>344584.9843</x:v>
      </x:c>
      <x:c r="E31" s="300" t="n">
        <x:v>1</x:v>
      </x:c>
      <x:c r="F31" s="300" t="str">
        <x:v>Reported records</x:v>
      </x:c>
      <x:c r="G31" s="300"/>
      <x:c r="H31" s="300"/>
      <x:c r="I31" s="300"/>
      <x:c r="J31" s="300"/>
      <x:c r="K31" s="300"/>
      <x:c r="L31" s="300"/>
      <x:c r="M31" s="300"/>
      <x:c r="N31" s="300"/>
    </x:row>
    <x:row r="32" ht="22" customHeight="1">
      <x:c r="A32" s="300" t="n">
        <x:v>2025</x:v>
      </x:c>
      <x:c r="B32" s="300" t="n">
        <x:v>4</x:v>
      </x:c>
      <x:c r="C32" s="300" t="n">
        <x:v>259.028388</x:v>
      </x:c>
      <x:c r="D32" s="300" t="n">
        <x:v>456233.0229</x:v>
      </x:c>
      <x:c r="E32" s="300" t="n">
        <x:v>2</x:v>
      </x:c>
      <x:c r="F32" s="300" t="str">
        <x:v>Reported records</x:v>
      </x:c>
      <x:c r="G32" s="300"/>
      <x:c r="H32" s="300"/>
      <x:c r="I32" s="300"/>
      <x:c r="J32" s="300"/>
      <x:c r="K32" s="300"/>
      <x:c r="L32" s="300"/>
      <x:c r="M32" s="300"/>
      <x:c r="N32" s="300"/>
    </x:row>
    <x:row r="33" ht="22" customHeight="1">
      <x:c r="A33" s="300" t="n">
        <x:v>2025</x:v>
      </x:c>
      <x:c r="B33" s="300" t="n">
        <x:v>5</x:v>
      </x:c>
      <x:c r="C33" s="300" t="n">
        <x:v>210.484376</x:v>
      </x:c>
      <x:c r="D33" s="300" t="n">
        <x:v>300691.9657</x:v>
      </x:c>
      <x:c r="E33" s="300" t="n">
        <x:v>2</x:v>
      </x:c>
      <x:c r="F33" s="300" t="str">
        <x:v>Coverage anomaly; absent rows not zero</x:v>
      </x:c>
      <x:c r="G33" s="300"/>
      <x:c r="H33" s="300"/>
      <x:c r="I33" s="300"/>
      <x:c r="J33" s="300"/>
      <x:c r="K33" s="300"/>
      <x:c r="L33" s="300"/>
      <x:c r="M33" s="300"/>
      <x:c r="N33" s="300"/>
    </x:row>
    <x:row r="34" ht="22" customHeight="1">
      <x:c r="A34" s="300" t="n">
        <x:v>2025</x:v>
      </x:c>
      <x:c r="B34" s="300" t="n">
        <x:v>6</x:v>
      </x:c>
      <x:c r="C34" s="300" t="n">
        <x:v>54.746213</x:v>
      </x:c>
      <x:c r="D34" s="300" t="n">
        <x:v>245040.9529</x:v>
      </x:c>
      <x:c r="E34" s="300" t="n">
        <x:v>2</x:v>
      </x:c>
      <x:c r="F34" s="300" t="str">
        <x:v>Coverage anomaly; absent rows not zero</x:v>
      </x:c>
      <x:c r="G34" s="300"/>
      <x:c r="H34" s="300"/>
      <x:c r="I34" s="300"/>
      <x:c r="J34" s="300"/>
      <x:c r="K34" s="300"/>
      <x:c r="L34" s="300"/>
      <x:c r="M34" s="300"/>
      <x:c r="N34" s="300"/>
    </x:row>
    <x:row r="35" ht="22" customHeight="1">
      <x:c r="A35" s="300" t="n">
        <x:v>2025</x:v>
      </x:c>
      <x:c r="B35" s="300" t="n">
        <x:v>7</x:v>
      </x:c>
      <x:c r="C35" s="300" t="n">
        <x:v>111.18194600000001</x:v>
      </x:c>
      <x:c r="D35" s="300" t="n">
        <x:v>459649.7157</x:v>
      </x:c>
      <x:c r="E35" s="300" t="n">
        <x:v>3</x:v>
      </x:c>
      <x:c r="F35" s="300" t="str">
        <x:v>Coverage anomaly; absent rows not zero</x:v>
      </x:c>
      <x:c r="G35" s="300"/>
      <x:c r="H35" s="300"/>
      <x:c r="I35" s="300"/>
      <x:c r="J35" s="300"/>
      <x:c r="K35" s="300"/>
      <x:c r="L35" s="300"/>
      <x:c r="M35" s="300"/>
      <x:c r="N35" s="300"/>
    </x:row>
    <x:row r="36" ht="22" customHeight="1">
      <x:c r="A36" s="300" t="n">
        <x:v>2025</x:v>
      </x:c>
      <x:c r="B36" s="300" t="n">
        <x:v>8</x:v>
      </x:c>
      <x:c r="C36" s="300" t="n">
        <x:v>4.248152</x:v>
      </x:c>
      <x:c r="D36" s="300" t="n">
        <x:v>224174.5</x:v>
      </x:c>
      <x:c r="E36" s="300" t="n">
        <x:v>3</x:v>
      </x:c>
      <x:c r="F36" s="300" t="str">
        <x:v>Coverage anomaly; absent rows not zero</x:v>
      </x:c>
      <x:c r="G36" s="300"/>
      <x:c r="H36" s="300"/>
      <x:c r="I36" s="300"/>
      <x:c r="J36" s="300"/>
      <x:c r="K36" s="300"/>
      <x:c r="L36" s="300"/>
      <x:c r="M36" s="300"/>
      <x:c r="N36" s="300"/>
    </x:row>
    <x:row r="37" ht="22" customHeight="1">
      <x:c r="A37" s="300" t="n">
        <x:v>2025</x:v>
      </x:c>
      <x:c r="B37" s="300" t="n">
        <x:v>9</x:v>
      </x:c>
      <x:c r="C37" s="300" t="n">
        <x:v>35.811278</x:v>
      </x:c>
      <x:c r="D37" s="300" t="n">
        <x:v>432124.3443</x:v>
      </x:c>
      <x:c r="E37" s="300" t="n">
        <x:v>3</x:v>
      </x:c>
      <x:c r="F37" s="300" t="str">
        <x:v>Coverage anomaly; absent rows not zero</x:v>
      </x:c>
      <x:c r="G37" s="300"/>
      <x:c r="H37" s="300"/>
      <x:c r="I37" s="300"/>
      <x:c r="J37" s="300"/>
      <x:c r="K37" s="300"/>
      <x:c r="L37" s="300"/>
      <x:c r="M37" s="300"/>
      <x:c r="N37" s="300"/>
    </x:row>
    <x:row r="38" ht="22" customHeight="1">
      <x:c r="A38" s="300" t="n">
        <x:v>2025</x:v>
      </x:c>
      <x:c r="B38" s="300" t="n">
        <x:v>10</x:v>
      </x:c>
      <x:c r="C38" s="300" t="n">
        <x:v>0</x:v>
      </x:c>
      <x:c r="D38" s="300" t="n">
        <x:v>446878.4557</x:v>
      </x:c>
      <x:c r="E38" s="300" t="n">
        <x:v>4</x:v>
      </x:c>
      <x:c r="F38" s="300" t="str">
        <x:v>Coverage anomaly; absent rows not zero</x:v>
      </x:c>
      <x:c r="G38" s="300"/>
      <x:c r="H38" s="300"/>
      <x:c r="I38" s="300"/>
      <x:c r="J38" s="300"/>
      <x:c r="K38" s="300"/>
      <x:c r="L38" s="300"/>
      <x:c r="M38" s="300"/>
      <x:c r="N38" s="300"/>
    </x:row>
    <x:row r="39" ht="22" customHeight="1">
      <x:c r="A39" s="300" t="n">
        <x:v>2025</x:v>
      </x:c>
      <x:c r="B39" s="300" t="n">
        <x:v>11</x:v>
      </x:c>
      <x:c r="C39" s="300" t="n">
        <x:v>0</x:v>
      </x:c>
      <x:c r="D39" s="300" t="n">
        <x:v>296986.2943</x:v>
      </x:c>
      <x:c r="E39" s="300" t="n">
        <x:v>4</x:v>
      </x:c>
      <x:c r="F39" s="300" t="str">
        <x:v>Coverage anomaly; absent rows not zero</x:v>
      </x:c>
      <x:c r="G39" s="300"/>
      <x:c r="H39" s="300"/>
      <x:c r="I39" s="300"/>
      <x:c r="J39" s="300"/>
      <x:c r="K39" s="300"/>
      <x:c r="L39" s="300"/>
      <x:c r="M39" s="300"/>
      <x:c r="N39" s="300"/>
    </x:row>
    <x:row r="40" ht="22" customHeight="1">
      <x:c r="A40" s="300" t="n">
        <x:v>2025</x:v>
      </x:c>
      <x:c r="B40" s="300" t="n">
        <x:v>12</x:v>
      </x:c>
      <x:c r="C40" s="300" t="n">
        <x:v>0</x:v>
      </x:c>
      <x:c r="D40" s="300" t="n">
        <x:v>212662.1357</x:v>
      </x:c>
      <x:c r="E40" s="300" t="n">
        <x:v>4</x:v>
      </x:c>
      <x:c r="F40" s="300" t="str">
        <x:v>Coverage anomaly; absent rows not zero</x:v>
      </x:c>
      <x:c r="G40" s="300"/>
      <x:c r="H40" s="300"/>
      <x:c r="I40" s="300"/>
      <x:c r="J40" s="300"/>
      <x:c r="K40" s="300"/>
      <x:c r="L40" s="300"/>
      <x:c r="M40" s="300"/>
      <x:c r="N40" s="300"/>
    </x:row>
    <x:row r="41" ht="22" customHeight="1">
      <x:c r="A41" s="300" t="n">
        <x:v>2026</x:v>
      </x:c>
      <x:c r="B41" s="300" t="n">
        <x:v>1</x:v>
      </x:c>
      <x:c r="C41" s="300" t="n">
        <x:v>281.003845</x:v>
      </x:c>
      <x:c r="D41" s="300" t="n">
        <x:v>401434.0643</x:v>
      </x:c>
      <x:c r="E41" s="300" t="n">
        <x:v>1</x:v>
      </x:c>
      <x:c r="F41" s="300" t="str">
        <x:v>Reported records</x:v>
      </x:c>
      <x:c r="G41" s="300"/>
      <x:c r="H41" s="300"/>
      <x:c r="I41" s="300"/>
      <x:c r="J41" s="300"/>
      <x:c r="K41" s="300"/>
      <x:c r="L41" s="300"/>
      <x:c r="M41" s="300"/>
      <x:c r="N41" s="300"/>
    </x:row>
    <x:row r="42" ht="22" customHeight="1">
      <x:c r="A42" s="300" t="n">
        <x:v>2026</x:v>
      </x:c>
      <x:c r="B42" s="300" t="n">
        <x:v>2</x:v>
      </x:c>
      <x:c r="C42" s="300" t="n">
        <x:v>310.570939</x:v>
      </x:c>
      <x:c r="D42" s="300" t="n">
        <x:v>443672.77</x:v>
      </x:c>
      <x:c r="E42" s="300" t="n">
        <x:v>1</x:v>
      </x:c>
      <x:c r="F42" s="300" t="str">
        <x:v>Reported records</x:v>
      </x:c>
      <x:c r="G42" s="300"/>
      <x:c r="H42" s="300"/>
      <x:c r="I42" s="300"/>
      <x:c r="J42" s="300"/>
      <x:c r="K42" s="300"/>
      <x:c r="L42" s="300"/>
      <x:c r="M42" s="300"/>
      <x:c r="N42" s="300"/>
    </x:row>
    <x:row r="43" ht="22" customHeight="1">
      <x:c r="A43" s="300" t="n">
        <x:v>2026</x:v>
      </x:c>
      <x:c r="B43" s="300" t="n">
        <x:v>3</x:v>
      </x:c>
      <x:c r="C43" s="300" t="n">
        <x:v>320.261462</x:v>
      </x:c>
      <x:c r="D43" s="300" t="n">
        <x:v>457516.3743</x:v>
      </x:c>
      <x:c r="E43" s="300" t="n">
        <x:v>1</x:v>
      </x:c>
      <x:c r="F43" s="300" t="str">
        <x:v>Reported records</x:v>
      </x:c>
      <x:c r="G43" s="300"/>
      <x:c r="H43" s="300"/>
      <x:c r="I43" s="300"/>
      <x:c r="J43" s="300"/>
      <x:c r="K43" s="300"/>
      <x:c r="L43" s="300"/>
      <x:c r="M43" s="300"/>
      <x:c r="N43" s="300"/>
    </x:row>
    <x:row r="44" ht="22" customHeight="1">
      <x:c r="A44" s="300" t="n">
        <x:v>2026</x:v>
      </x:c>
      <x:c r="B44" s="300" t="n">
        <x:v>4</x:v>
      </x:c>
      <x:c r="C44" s="300" t="n">
        <x:v>206.322815</x:v>
      </x:c>
      <x:c r="D44" s="300" t="n">
        <x:v>294746.8786</x:v>
      </x:c>
      <x:c r="E44" s="300" t="n">
        <x:v>2</x:v>
      </x:c>
      <x:c r="F44" s="300" t="str">
        <x:v>Reported records</x:v>
      </x:c>
      <x:c r="G44" s="300"/>
      <x:c r="H44" s="300"/>
      <x:c r="I44" s="300"/>
      <x:c r="J44" s="300"/>
      <x:c r="K44" s="300"/>
      <x:c r="L44" s="300"/>
      <x:c r="M44" s="300"/>
      <x:c r="N44" s="300"/>
    </x:row>
    <x:row r="45" ht="22" customHeight="1">
      <x:c r="A45" s="300" t="n">
        <x:v>2026</x:v>
      </x:c>
      <x:c r="B45" s="300" t="n">
        <x:v>5</x:v>
      </x:c>
      <x:c r="C45" s="300" t="n">
        <x:v>95.245213</x:v>
      </x:c>
      <x:c r="D45" s="300" t="n">
        <x:v>136064.59</x:v>
      </x:c>
      <x:c r="E45" s="300" t="n">
        <x:v>2</x:v>
      </x:c>
      <x:c r="F45" s="300" t="str">
        <x:v>Reported records</x:v>
      </x:c>
      <x:c r="G45" s="300"/>
      <x:c r="H45" s="300"/>
      <x:c r="I45" s="300"/>
      <x:c r="J45" s="300"/>
      <x:c r="K45" s="300"/>
      <x:c r="L45" s="300"/>
      <x:c r="M45" s="300"/>
      <x:c r="N45" s="300"/>
    </x:row>
    <x:row r="46" ht="22" customHeight="1">
      <x:c r="A46" s="300" t="n">
        <x:v>2026</x:v>
      </x:c>
      <x:c r="B46" s="300" t="n">
        <x:v>6</x:v>
      </x:c>
      <x:c r="C46" s="300" t="n">
        <x:v>205.79190499999999</x:v>
      </x:c>
      <x:c r="D46" s="300" t="n">
        <x:v>293988.4357</x:v>
      </x:c>
      <x:c r="E46" s="300" t="n">
        <x:v>2</x:v>
      </x:c>
      <x:c r="F46" s="300" t="str">
        <x:v>Reported records</x:v>
      </x:c>
      <x:c r="G46" s="300"/>
      <x:c r="H46" s="300"/>
      <x:c r="I46" s="300"/>
      <x:c r="J46" s="300"/>
      <x:c r="K46" s="300"/>
      <x:c r="L46" s="300"/>
      <x:c r="M46" s="300"/>
      <x:c r="N46" s="300"/>
    </x:row>
    <x:row r="47" ht="22" customHeight="1">
      <x:c r="A47" s="300"/>
      <x:c r="B47" s="300"/>
      <x:c r="C47" s="300"/>
      <x:c r="D47" s="300"/>
      <x:c r="E47" s="300"/>
      <x:c r="F47" s="300"/>
      <x:c r="G47" s="300"/>
      <x:c r="H47" s="300"/>
      <x:c r="I47" s="300"/>
      <x:c r="J47" s="300"/>
      <x:c r="K47" s="300"/>
      <x:c r="L47" s="300"/>
      <x:c r="M47" s="300"/>
      <x:c r="N47" s="300"/>
    </x:row>
    <x:row r="48" ht="22" customHeight="1">
      <x:c r="A48" s="300" t="str">
        <x:v>Raw Braskem naphtha customs rows (NCM 27101241 only); 2024 schema has no state column.</x:v>
      </x:c>
      <x:c r="B48" s="300"/>
      <x:c r="C48" s="300"/>
      <x:c r="D48" s="300"/>
      <x:c r="E48" s="300"/>
      <x:c r="F48" s="300"/>
      <x:c r="G48" s="300"/>
      <x:c r="H48" s="300"/>
      <x:c r="I48" s="300"/>
      <x:c r="J48" s="300"/>
      <x:c r="K48" s="300"/>
      <x:c r="L48" s="300"/>
      <x:c r="M48" s="300"/>
      <x:c r="N48" s="300"/>
    </x:row>
    <x:row r="49" ht="22" customHeight="1">
      <x:c r="A49" s="300"/>
      <x:c r="B49" s="300"/>
      <x:c r="C49" s="300"/>
      <x:c r="D49" s="300"/>
      <x:c r="E49" s="300"/>
      <x:c r="F49" s="300"/>
      <x:c r="G49" s="300"/>
      <x:c r="H49" s="300"/>
      <x:c r="I49" s="300"/>
      <x:c r="J49" s="300"/>
      <x:c r="K49" s="300"/>
      <x:c r="L49" s="300"/>
      <x:c r="M49" s="300"/>
      <x:c r="N49" s="300"/>
    </x:row>
    <x:row r="50" ht="36" customHeight="1">
      <x:c r="A50" s="323" t="str">
        <x:v>Year</x:v>
      </x:c>
      <x:c r="B50" s="323" t="str">
        <x:v>Month</x:v>
      </x:c>
      <x:c r="C50" s="323" t="str">
        <x:v>Importer</x:v>
      </x:c>
      <x:c r="D50" s="323" t="str">
        <x:v>CNPJ</x:v>
      </x:c>
      <x:c r="E50" s="323" t="str">
        <x:v>State</x:v>
      </x:c>
      <x:c r="F50" s="323" t="str">
        <x:v>NCM</x:v>
      </x:c>
      <x:c r="G50" s="323" t="str">
        <x:v>Origin</x:v>
      </x:c>
      <x:c r="H50" s="323" t="str">
        <x:v>Actual kg</x:v>
      </x:c>
      <x:c r="I50" s="300"/>
      <x:c r="J50" s="300"/>
      <x:c r="K50" s="300"/>
      <x:c r="L50" s="300"/>
      <x:c r="M50" s="300"/>
      <x:c r="N50" s="300"/>
    </x:row>
    <x:row r="51" ht="22" customHeight="1">
      <x:c r="A51" s="300" t="n">
        <x:v>2024</x:v>
      </x:c>
      <x:c r="B51" s="300" t="n">
        <x:v>1</x:v>
      </x:c>
      <x:c r="C51" s="300" t="str">
        <x:v>BRASKEM S.A</x:v>
      </x:c>
      <x:c r="D51" s="300" t="str">
        <x:v>42150391/0001-70</x:v>
      </x:c>
      <x:c r="E51" s="300" t="str"/>
      <x:c r="F51" s="300" t="str">
        <x:v>27101241</x:v>
      </x:c>
      <x:c r="G51" s="300" t="str">
        <x:v>Espanha</x:v>
      </x:c>
      <x:c r="H51" s="300" t="n">
        <x:v>57733627</x:v>
      </x:c>
      <x:c r="I51" s="300"/>
      <x:c r="J51" s="300"/>
      <x:c r="K51" s="300"/>
      <x:c r="L51" s="300"/>
      <x:c r="M51" s="300"/>
      <x:c r="N51" s="300"/>
    </x:row>
    <x:row r="52" ht="22" customHeight="1">
      <x:c r="A52" s="300" t="n">
        <x:v>2024</x:v>
      </x:c>
      <x:c r="B52" s="300" t="n">
        <x:v>1</x:v>
      </x:c>
      <x:c r="C52" s="300" t="str">
        <x:v>BRASKEM S.A</x:v>
      </x:c>
      <x:c r="D52" s="300" t="str">
        <x:v>42150391/0001-70</x:v>
      </x:c>
      <x:c r="E52" s="300" t="str"/>
      <x:c r="F52" s="300" t="str">
        <x:v>27101241</x:v>
      </x:c>
      <x:c r="G52" s="300" t="str">
        <x:v>Estados Unidos</x:v>
      </x:c>
      <x:c r="H52" s="300" t="n">
        <x:v>175423241</x:v>
      </x:c>
      <x:c r="I52" s="300"/>
      <x:c r="J52" s="300"/>
      <x:c r="K52" s="300"/>
      <x:c r="L52" s="300"/>
      <x:c r="M52" s="300"/>
      <x:c r="N52" s="300"/>
    </x:row>
    <x:row r="53" ht="22" customHeight="1">
      <x:c r="A53" s="300" t="n">
        <x:v>2024</x:v>
      </x:c>
      <x:c r="B53" s="300" t="n">
        <x:v>1</x:v>
      </x:c>
      <x:c r="C53" s="300" t="str">
        <x:v>BRASKEM S.A</x:v>
      </x:c>
      <x:c r="D53" s="300" t="str">
        <x:v>42150391/0038-62</x:v>
      </x:c>
      <x:c r="E53" s="300" t="str"/>
      <x:c r="F53" s="300" t="str">
        <x:v>27101241</x:v>
      </x:c>
      <x:c r="G53" s="300" t="str">
        <x:v>Estados Unidos</x:v>
      </x:c>
      <x:c r="H53" s="300" t="n">
        <x:v>116766562</x:v>
      </x:c>
      <x:c r="I53" s="300"/>
      <x:c r="J53" s="300"/>
      <x:c r="K53" s="300"/>
      <x:c r="L53" s="300"/>
      <x:c r="M53" s="300"/>
      <x:c r="N53" s="300"/>
    </x:row>
    <x:row r="54" ht="22" customHeight="1">
      <x:c r="A54" s="300" t="n">
        <x:v>2024</x:v>
      </x:c>
      <x:c r="B54" s="300" t="n">
        <x:v>2</x:v>
      </x:c>
      <x:c r="C54" s="300" t="str">
        <x:v>BRASKEM S.A</x:v>
      </x:c>
      <x:c r="D54" s="300" t="str">
        <x:v>42150391/0001-70</x:v>
      </x:c>
      <x:c r="E54" s="300" t="str"/>
      <x:c r="F54" s="300" t="str">
        <x:v>27101241</x:v>
      </x:c>
      <x:c r="G54" s="300" t="str">
        <x:v>Espanha</x:v>
      </x:c>
      <x:c r="H54" s="300" t="n">
        <x:v>62547823</x:v>
      </x:c>
      <x:c r="I54" s="300"/>
      <x:c r="J54" s="300"/>
      <x:c r="K54" s="300"/>
      <x:c r="L54" s="300"/>
      <x:c r="M54" s="300"/>
      <x:c r="N54" s="300"/>
    </x:row>
    <x:row r="55" ht="22" customHeight="1">
      <x:c r="A55" s="300" t="n">
        <x:v>2024</x:v>
      </x:c>
      <x:c r="B55" s="300" t="n">
        <x:v>2</x:v>
      </x:c>
      <x:c r="C55" s="300" t="str">
        <x:v>BRASKEM S.A</x:v>
      </x:c>
      <x:c r="D55" s="300" t="str">
        <x:v>42150391/0001-70</x:v>
      </x:c>
      <x:c r="E55" s="300" t="str"/>
      <x:c r="F55" s="300" t="str">
        <x:v>27101241</x:v>
      </x:c>
      <x:c r="G55" s="300" t="str">
        <x:v>Estados Unidos</x:v>
      </x:c>
      <x:c r="H55" s="300" t="n">
        <x:v>57516673</x:v>
      </x:c>
      <x:c r="I55" s="300"/>
      <x:c r="J55" s="300"/>
      <x:c r="K55" s="300"/>
      <x:c r="L55" s="300"/>
      <x:c r="M55" s="300"/>
      <x:c r="N55" s="300"/>
    </x:row>
    <x:row r="56" ht="22" customHeight="1">
      <x:c r="A56" s="300" t="n">
        <x:v>2024</x:v>
      </x:c>
      <x:c r="B56" s="300" t="n">
        <x:v>2</x:v>
      </x:c>
      <x:c r="C56" s="300" t="str">
        <x:v>BRASKEM S.A</x:v>
      </x:c>
      <x:c r="D56" s="300" t="str">
        <x:v>42150391/0038-62</x:v>
      </x:c>
      <x:c r="E56" s="300" t="str"/>
      <x:c r="F56" s="300" t="str">
        <x:v>27101241</x:v>
      </x:c>
      <x:c r="G56" s="300" t="str">
        <x:v>Argélia</x:v>
      </x:c>
      <x:c r="H56" s="300" t="n">
        <x:v>83330150</x:v>
      </x:c>
      <x:c r="I56" s="300"/>
      <x:c r="J56" s="300"/>
      <x:c r="K56" s="300"/>
      <x:c r="L56" s="300"/>
      <x:c r="M56" s="300"/>
      <x:c r="N56" s="300"/>
    </x:row>
    <x:row r="57" ht="22" customHeight="1">
      <x:c r="A57" s="300" t="n">
        <x:v>2024</x:v>
      </x:c>
      <x:c r="B57" s="300" t="n">
        <x:v>2</x:v>
      </x:c>
      <x:c r="C57" s="300" t="str">
        <x:v>BRASKEM S.A</x:v>
      </x:c>
      <x:c r="D57" s="300" t="str">
        <x:v>42150391/0038-62</x:v>
      </x:c>
      <x:c r="E57" s="300" t="str"/>
      <x:c r="F57" s="300" t="str">
        <x:v>27101241</x:v>
      </x:c>
      <x:c r="G57" s="300" t="str">
        <x:v>Estados Unidos</x:v>
      </x:c>
      <x:c r="H57" s="300" t="n">
        <x:v>49279505</x:v>
      </x:c>
      <x:c r="I57" s="300"/>
      <x:c r="J57" s="300"/>
      <x:c r="K57" s="300"/>
      <x:c r="L57" s="300"/>
      <x:c r="M57" s="300"/>
      <x:c r="N57" s="300"/>
    </x:row>
    <x:row r="58" ht="22" customHeight="1">
      <x:c r="A58" s="300" t="n">
        <x:v>2024</x:v>
      </x:c>
      <x:c r="B58" s="300" t="n">
        <x:v>3</x:v>
      </x:c>
      <x:c r="C58" s="300" t="str">
        <x:v>BRASKEM S.A</x:v>
      </x:c>
      <x:c r="D58" s="300" t="str">
        <x:v>42150391/0001-70</x:v>
      </x:c>
      <x:c r="E58" s="300" t="str"/>
      <x:c r="F58" s="300" t="str">
        <x:v>27101241</x:v>
      </x:c>
      <x:c r="G58" s="300" t="str">
        <x:v>Argélia</x:v>
      </x:c>
      <x:c r="H58" s="300" t="n">
        <x:v>36093046</x:v>
      </x:c>
      <x:c r="I58" s="300"/>
      <x:c r="J58" s="300"/>
      <x:c r="K58" s="300"/>
      <x:c r="L58" s="300"/>
      <x:c r="M58" s="300"/>
      <x:c r="N58" s="300"/>
    </x:row>
    <x:row r="59" ht="22" customHeight="1">
      <x:c r="A59" s="300" t="n">
        <x:v>2024</x:v>
      </x:c>
      <x:c r="B59" s="300" t="n">
        <x:v>3</x:v>
      </x:c>
      <x:c r="C59" s="300" t="str">
        <x:v>BRASKEM S.A</x:v>
      </x:c>
      <x:c r="D59" s="300" t="str">
        <x:v>42150391/0001-70</x:v>
      </x:c>
      <x:c r="E59" s="300" t="str"/>
      <x:c r="F59" s="300" t="str">
        <x:v>27101241</x:v>
      </x:c>
      <x:c r="G59" s="300" t="str">
        <x:v>Espanha</x:v>
      </x:c>
      <x:c r="H59" s="300" t="n">
        <x:v>35824046</x:v>
      </x:c>
      <x:c r="I59" s="300"/>
      <x:c r="J59" s="300"/>
      <x:c r="K59" s="300"/>
      <x:c r="L59" s="300"/>
      <x:c r="M59" s="300"/>
      <x:c r="N59" s="300"/>
    </x:row>
    <x:row r="60" ht="22" customHeight="1">
      <x:c r="A60" s="300" t="n">
        <x:v>2024</x:v>
      </x:c>
      <x:c r="B60" s="300" t="n">
        <x:v>3</x:v>
      </x:c>
      <x:c r="C60" s="300" t="str">
        <x:v>BRASKEM S.A</x:v>
      </x:c>
      <x:c r="D60" s="300" t="str">
        <x:v>42150391/0001-70</x:v>
      </x:c>
      <x:c r="E60" s="300" t="str"/>
      <x:c r="F60" s="300" t="str">
        <x:v>27101241</x:v>
      </x:c>
      <x:c r="G60" s="300" t="str">
        <x:v>Estados Unidos</x:v>
      </x:c>
      <x:c r="H60" s="300" t="n">
        <x:v>109837997</x:v>
      </x:c>
      <x:c r="I60" s="300"/>
      <x:c r="J60" s="300"/>
      <x:c r="K60" s="300"/>
      <x:c r="L60" s="300"/>
      <x:c r="M60" s="300"/>
      <x:c r="N60" s="300"/>
    </x:row>
    <x:row r="61" ht="22" customHeight="1">
      <x:c r="A61" s="300" t="n">
        <x:v>2024</x:v>
      </x:c>
      <x:c r="B61" s="300" t="n">
        <x:v>3</x:v>
      </x:c>
      <x:c r="C61" s="300" t="str">
        <x:v>BRASKEM S.A</x:v>
      </x:c>
      <x:c r="D61" s="300" t="str">
        <x:v>42150391/0001-70</x:v>
      </x:c>
      <x:c r="E61" s="300" t="str"/>
      <x:c r="F61" s="300" t="str">
        <x:v>27101241</x:v>
      </x:c>
      <x:c r="G61" s="300" t="str">
        <x:v>Itália</x:v>
      </x:c>
      <x:c r="H61" s="300" t="n">
        <x:v>56741878</x:v>
      </x:c>
      <x:c r="I61" s="300"/>
      <x:c r="J61" s="300"/>
      <x:c r="K61" s="300"/>
      <x:c r="L61" s="300"/>
      <x:c r="M61" s="300"/>
      <x:c r="N61" s="300"/>
    </x:row>
    <x:row r="62" ht="22" customHeight="1">
      <x:c r="A62" s="300" t="n">
        <x:v>2024</x:v>
      </x:c>
      <x:c r="B62" s="300" t="n">
        <x:v>3</x:v>
      </x:c>
      <x:c r="C62" s="300" t="str">
        <x:v>BRASKEM S.A</x:v>
      </x:c>
      <x:c r="D62" s="300" t="str">
        <x:v>42150391/0001-70</x:v>
      </x:c>
      <x:c r="E62" s="300" t="str"/>
      <x:c r="F62" s="300" t="str">
        <x:v>27101241</x:v>
      </x:c>
      <x:c r="G62" s="300" t="str">
        <x:v>Nigéria</x:v>
      </x:c>
      <x:c r="H62" s="300" t="n">
        <x:v>33975612</x:v>
      </x:c>
      <x:c r="I62" s="300"/>
      <x:c r="J62" s="300"/>
      <x:c r="K62" s="300"/>
      <x:c r="L62" s="300"/>
      <x:c r="M62" s="300"/>
      <x:c r="N62" s="300"/>
    </x:row>
    <x:row r="63" ht="22" customHeight="1">
      <x:c r="A63" s="300" t="n">
        <x:v>2024</x:v>
      </x:c>
      <x:c r="B63" s="300" t="n">
        <x:v>3</x:v>
      </x:c>
      <x:c r="C63" s="300" t="str">
        <x:v>BRASKEM S.A</x:v>
      </x:c>
      <x:c r="D63" s="300" t="str">
        <x:v>42150391/0038-62</x:v>
      </x:c>
      <x:c r="E63" s="300" t="str"/>
      <x:c r="F63" s="300" t="str">
        <x:v>27101241</x:v>
      </x:c>
      <x:c r="G63" s="300" t="str">
        <x:v>Argélia</x:v>
      </x:c>
      <x:c r="H63" s="300" t="n">
        <x:v>86358241</x:v>
      </x:c>
      <x:c r="I63" s="300"/>
      <x:c r="J63" s="300"/>
      <x:c r="K63" s="300"/>
      <x:c r="L63" s="300"/>
      <x:c r="M63" s="300"/>
      <x:c r="N63" s="300"/>
    </x:row>
    <x:row r="64" ht="22" customHeight="1">
      <x:c r="A64" s="300" t="n">
        <x:v>2024</x:v>
      </x:c>
      <x:c r="B64" s="300" t="n">
        <x:v>4</x:v>
      </x:c>
      <x:c r="C64" s="300" t="str">
        <x:v>BRASKEM S.A</x:v>
      </x:c>
      <x:c r="D64" s="300" t="str">
        <x:v>42150391/0001-70</x:v>
      </x:c>
      <x:c r="E64" s="300" t="str"/>
      <x:c r="F64" s="300" t="str">
        <x:v>27101241</x:v>
      </x:c>
      <x:c r="G64" s="300" t="str">
        <x:v>Argélia</x:v>
      </x:c>
      <x:c r="H64" s="300" t="n">
        <x:v>58602881</x:v>
      </x:c>
      <x:c r="I64" s="300"/>
      <x:c r="J64" s="300"/>
      <x:c r="K64" s="300"/>
      <x:c r="L64" s="300"/>
      <x:c r="M64" s="300"/>
      <x:c r="N64" s="300"/>
    </x:row>
    <x:row r="65" ht="22" customHeight="1">
      <x:c r="A65" s="300" t="n">
        <x:v>2024</x:v>
      </x:c>
      <x:c r="B65" s="300" t="n">
        <x:v>4</x:v>
      </x:c>
      <x:c r="C65" s="300" t="str">
        <x:v>BRASKEM S.A</x:v>
      </x:c>
      <x:c r="D65" s="300" t="str">
        <x:v>42150391/0001-70</x:v>
      </x:c>
      <x:c r="E65" s="300" t="str"/>
      <x:c r="F65" s="300" t="str">
        <x:v>27101241</x:v>
      </x:c>
      <x:c r="G65" s="300" t="str">
        <x:v>Espanha</x:v>
      </x:c>
      <x:c r="H65" s="300" t="n">
        <x:v>55276835</x:v>
      </x:c>
      <x:c r="I65" s="300"/>
      <x:c r="J65" s="300"/>
      <x:c r="K65" s="300"/>
      <x:c r="L65" s="300"/>
      <x:c r="M65" s="300"/>
      <x:c r="N65" s="300"/>
    </x:row>
    <x:row r="66" ht="22" customHeight="1">
      <x:c r="A66" s="300" t="n">
        <x:v>2024</x:v>
      </x:c>
      <x:c r="B66" s="300" t="n">
        <x:v>4</x:v>
      </x:c>
      <x:c r="C66" s="300" t="str">
        <x:v>BRASKEM S.A</x:v>
      </x:c>
      <x:c r="D66" s="300" t="str">
        <x:v>42150391/0001-70</x:v>
      </x:c>
      <x:c r="E66" s="300" t="str"/>
      <x:c r="F66" s="300" t="str">
        <x:v>27101241</x:v>
      </x:c>
      <x:c r="G66" s="300" t="str">
        <x:v>Estados Unidos</x:v>
      </x:c>
      <x:c r="H66" s="300" t="n">
        <x:v>55798756</x:v>
      </x:c>
      <x:c r="I66" s="300"/>
      <x:c r="J66" s="300"/>
      <x:c r="K66" s="300"/>
      <x:c r="L66" s="300"/>
      <x:c r="M66" s="300"/>
      <x:c r="N66" s="300"/>
    </x:row>
    <x:row r="67" ht="22" customHeight="1">
      <x:c r="A67" s="300" t="n">
        <x:v>2024</x:v>
      </x:c>
      <x:c r="B67" s="300" t="n">
        <x:v>4</x:v>
      </x:c>
      <x:c r="C67" s="300" t="str">
        <x:v>BRASKEM S.A</x:v>
      </x:c>
      <x:c r="D67" s="300" t="str">
        <x:v>42150391/0038-62</x:v>
      </x:c>
      <x:c r="E67" s="300" t="str"/>
      <x:c r="F67" s="300" t="str">
        <x:v>27101241</x:v>
      </x:c>
      <x:c r="G67" s="300" t="str">
        <x:v>Estados Unidos</x:v>
      </x:c>
      <x:c r="H67" s="300" t="n">
        <x:v>110703858</x:v>
      </x:c>
      <x:c r="I67" s="300"/>
      <x:c r="J67" s="300"/>
      <x:c r="K67" s="300"/>
      <x:c r="L67" s="300"/>
      <x:c r="M67" s="300"/>
      <x:c r="N67" s="300"/>
    </x:row>
    <x:row r="68" ht="22" customHeight="1">
      <x:c r="A68" s="300" t="n">
        <x:v>2024</x:v>
      </x:c>
      <x:c r="B68" s="300" t="n">
        <x:v>4</x:v>
      </x:c>
      <x:c r="C68" s="300" t="str">
        <x:v>BRASKEM S.A</x:v>
      </x:c>
      <x:c r="D68" s="300" t="str">
        <x:v>42150391/0038-62</x:v>
      </x:c>
      <x:c r="E68" s="300" t="str"/>
      <x:c r="F68" s="300" t="str">
        <x:v>27101241</x:v>
      </x:c>
      <x:c r="G68" s="300" t="str">
        <x:v>Peru</x:v>
      </x:c>
      <x:c r="H68" s="300" t="n">
        <x:v>34848360</x:v>
      </x:c>
      <x:c r="I68" s="300"/>
      <x:c r="J68" s="300"/>
      <x:c r="K68" s="300"/>
      <x:c r="L68" s="300"/>
      <x:c r="M68" s="300"/>
      <x:c r="N68" s="300"/>
    </x:row>
    <x:row r="69" ht="22" customHeight="1">
      <x:c r="A69" s="300" t="n">
        <x:v>2024</x:v>
      </x:c>
      <x:c r="B69" s="300" t="n">
        <x:v>5</x:v>
      </x:c>
      <x:c r="C69" s="300" t="str">
        <x:v>BRASKEM S.A</x:v>
      </x:c>
      <x:c r="D69" s="300" t="str">
        <x:v>42150391/0001-70</x:v>
      </x:c>
      <x:c r="E69" s="300" t="str"/>
      <x:c r="F69" s="300" t="str">
        <x:v>27101241</x:v>
      </x:c>
      <x:c r="G69" s="300" t="str">
        <x:v>Angola</x:v>
      </x:c>
      <x:c r="H69" s="300" t="n">
        <x:v>65967142</x:v>
      </x:c>
      <x:c r="I69" s="300"/>
      <x:c r="J69" s="300"/>
      <x:c r="K69" s="300"/>
      <x:c r="L69" s="300"/>
      <x:c r="M69" s="300"/>
      <x:c r="N69" s="300"/>
    </x:row>
    <x:row r="70" ht="22" customHeight="1">
      <x:c r="A70" s="300" t="n">
        <x:v>2024</x:v>
      </x:c>
      <x:c r="B70" s="300" t="n">
        <x:v>5</x:v>
      </x:c>
      <x:c r="C70" s="300" t="str">
        <x:v>BRASKEM S.A</x:v>
      </x:c>
      <x:c r="D70" s="300" t="str">
        <x:v>42150391/0001-70</x:v>
      </x:c>
      <x:c r="E70" s="300" t="str"/>
      <x:c r="F70" s="300" t="str">
        <x:v>27101241</x:v>
      </x:c>
      <x:c r="G70" s="300" t="str">
        <x:v>Espanha</x:v>
      </x:c>
      <x:c r="H70" s="300" t="n">
        <x:v>35166248</x:v>
      </x:c>
      <x:c r="I70" s="300"/>
      <x:c r="J70" s="300"/>
      <x:c r="K70" s="300"/>
      <x:c r="L70" s="300"/>
      <x:c r="M70" s="300"/>
      <x:c r="N70" s="300"/>
    </x:row>
    <x:row r="71" ht="22" customHeight="1">
      <x:c r="A71" s="300" t="n">
        <x:v>2024</x:v>
      </x:c>
      <x:c r="B71" s="300" t="n">
        <x:v>5</x:v>
      </x:c>
      <x:c r="C71" s="300" t="str">
        <x:v>BRASKEM S.A</x:v>
      </x:c>
      <x:c r="D71" s="300" t="str">
        <x:v>42150391/0001-70</x:v>
      </x:c>
      <x:c r="E71" s="300" t="str"/>
      <x:c r="F71" s="300" t="str">
        <x:v>27101241</x:v>
      </x:c>
      <x:c r="G71" s="300" t="str">
        <x:v>Estados Unidos</x:v>
      </x:c>
      <x:c r="H71" s="300" t="n">
        <x:v>230486875</x:v>
      </x:c>
      <x:c r="I71" s="300"/>
      <x:c r="J71" s="300"/>
      <x:c r="K71" s="300"/>
      <x:c r="L71" s="300"/>
      <x:c r="M71" s="300"/>
      <x:c r="N71" s="300"/>
    </x:row>
    <x:row r="72" ht="22" customHeight="1">
      <x:c r="A72" s="300" t="n">
        <x:v>2024</x:v>
      </x:c>
      <x:c r="B72" s="300" t="n">
        <x:v>6</x:v>
      </x:c>
      <x:c r="C72" s="300" t="str">
        <x:v>BRASKEM S.A</x:v>
      </x:c>
      <x:c r="D72" s="300" t="str">
        <x:v>42150391/0001-70</x:v>
      </x:c>
      <x:c r="E72" s="300" t="str"/>
      <x:c r="F72" s="300" t="str">
        <x:v>27101241</x:v>
      </x:c>
      <x:c r="G72" s="300" t="str">
        <x:v>Estados Unidos</x:v>
      </x:c>
      <x:c r="H72" s="300" t="n">
        <x:v>164413101</x:v>
      </x:c>
      <x:c r="I72" s="300"/>
      <x:c r="J72" s="300"/>
      <x:c r="K72" s="300"/>
      <x:c r="L72" s="300"/>
      <x:c r="M72" s="300"/>
      <x:c r="N72" s="300"/>
    </x:row>
    <x:row r="73" ht="22" customHeight="1">
      <x:c r="A73" s="300" t="n">
        <x:v>2024</x:v>
      </x:c>
      <x:c r="B73" s="300" t="n">
        <x:v>6</x:v>
      </x:c>
      <x:c r="C73" s="300" t="str">
        <x:v>BRASKEM S.A</x:v>
      </x:c>
      <x:c r="D73" s="300" t="str">
        <x:v>42150391/0001-70</x:v>
      </x:c>
      <x:c r="E73" s="300" t="str"/>
      <x:c r="F73" s="300" t="str">
        <x:v>27101241</x:v>
      </x:c>
      <x:c r="G73" s="300" t="str">
        <x:v>Itália</x:v>
      </x:c>
      <x:c r="H73" s="300" t="n">
        <x:v>50132363</x:v>
      </x:c>
      <x:c r="I73" s="300"/>
      <x:c r="J73" s="300"/>
      <x:c r="K73" s="300"/>
      <x:c r="L73" s="300"/>
      <x:c r="M73" s="300"/>
      <x:c r="N73" s="300"/>
    </x:row>
    <x:row r="74" ht="22" customHeight="1">
      <x:c r="A74" s="300" t="n">
        <x:v>2024</x:v>
      </x:c>
      <x:c r="B74" s="300" t="n">
        <x:v>6</x:v>
      </x:c>
      <x:c r="C74" s="300" t="str">
        <x:v>BRASKEM S.A</x:v>
      </x:c>
      <x:c r="D74" s="300" t="str">
        <x:v>42150391/0038-62</x:v>
      </x:c>
      <x:c r="E74" s="300" t="str"/>
      <x:c r="F74" s="300" t="str">
        <x:v>27101241</x:v>
      </x:c>
      <x:c r="G74" s="300" t="str">
        <x:v>Espanha</x:v>
      </x:c>
      <x:c r="H74" s="300" t="n">
        <x:v>56679339</x:v>
      </x:c>
      <x:c r="I74" s="300"/>
      <x:c r="J74" s="300"/>
      <x:c r="K74" s="300"/>
      <x:c r="L74" s="300"/>
      <x:c r="M74" s="300"/>
      <x:c r="N74" s="300"/>
    </x:row>
    <x:row r="75" ht="22" customHeight="1">
      <x:c r="A75" s="300" t="n">
        <x:v>2024</x:v>
      </x:c>
      <x:c r="B75" s="300" t="n">
        <x:v>6</x:v>
      </x:c>
      <x:c r="C75" s="300" t="str">
        <x:v>BRASKEM S.A</x:v>
      </x:c>
      <x:c r="D75" s="300" t="str">
        <x:v>42150391/0038-62</x:v>
      </x:c>
      <x:c r="E75" s="300" t="str"/>
      <x:c r="F75" s="300" t="str">
        <x:v>27101241</x:v>
      </x:c>
      <x:c r="G75" s="300" t="str">
        <x:v>Estados Unidos</x:v>
      </x:c>
      <x:c r="H75" s="300" t="n">
        <x:v>55942370</x:v>
      </x:c>
      <x:c r="I75" s="300"/>
      <x:c r="J75" s="300"/>
      <x:c r="K75" s="300"/>
      <x:c r="L75" s="300"/>
      <x:c r="M75" s="300"/>
      <x:c r="N75" s="300"/>
    </x:row>
    <x:row r="76" ht="22" customHeight="1">
      <x:c r="A76" s="300" t="n">
        <x:v>2024</x:v>
      </x:c>
      <x:c r="B76" s="300" t="n">
        <x:v>7</x:v>
      </x:c>
      <x:c r="C76" s="300" t="str">
        <x:v>BRASKEM S.A</x:v>
      </x:c>
      <x:c r="D76" s="300" t="str">
        <x:v>42150391/0001-70</x:v>
      </x:c>
      <x:c r="E76" s="300" t="str"/>
      <x:c r="F76" s="300" t="str">
        <x:v>27101241</x:v>
      </x:c>
      <x:c r="G76" s="300" t="str">
        <x:v>Angola</x:v>
      </x:c>
      <x:c r="H76" s="300" t="n">
        <x:v>19317685</x:v>
      </x:c>
      <x:c r="I76" s="300"/>
      <x:c r="J76" s="300"/>
      <x:c r="K76" s="300"/>
      <x:c r="L76" s="300"/>
      <x:c r="M76" s="300"/>
      <x:c r="N76" s="300"/>
    </x:row>
    <x:row r="77" ht="22" customHeight="1">
      <x:c r="A77" s="300" t="n">
        <x:v>2024</x:v>
      </x:c>
      <x:c r="B77" s="300" t="n">
        <x:v>7</x:v>
      </x:c>
      <x:c r="C77" s="300" t="str">
        <x:v>BRASKEM S.A</x:v>
      </x:c>
      <x:c r="D77" s="300" t="str">
        <x:v>42150391/0001-70</x:v>
      </x:c>
      <x:c r="E77" s="300" t="str"/>
      <x:c r="F77" s="300" t="str">
        <x:v>27101241</x:v>
      </x:c>
      <x:c r="G77" s="300" t="str">
        <x:v>Espanha</x:v>
      </x:c>
      <x:c r="H77" s="300" t="n">
        <x:v>93635264</x:v>
      </x:c>
      <x:c r="I77" s="300"/>
      <x:c r="J77" s="300"/>
      <x:c r="K77" s="300"/>
      <x:c r="L77" s="300"/>
      <x:c r="M77" s="300"/>
      <x:c r="N77" s="300"/>
    </x:row>
    <x:row r="78" ht="22" customHeight="1">
      <x:c r="A78" s="300" t="n">
        <x:v>2024</x:v>
      </x:c>
      <x:c r="B78" s="300" t="n">
        <x:v>7</x:v>
      </x:c>
      <x:c r="C78" s="300" t="str">
        <x:v>BRASKEM S.A</x:v>
      </x:c>
      <x:c r="D78" s="300" t="str">
        <x:v>42150391/0001-70</x:v>
      </x:c>
      <x:c r="E78" s="300" t="str"/>
      <x:c r="F78" s="300" t="str">
        <x:v>27101241</x:v>
      </x:c>
      <x:c r="G78" s="300" t="str">
        <x:v>Estados Unidos</x:v>
      </x:c>
      <x:c r="H78" s="300" t="n">
        <x:v>52173661</x:v>
      </x:c>
      <x:c r="I78" s="300"/>
      <x:c r="J78" s="300"/>
      <x:c r="K78" s="300"/>
      <x:c r="L78" s="300"/>
      <x:c r="M78" s="300"/>
      <x:c r="N78" s="300"/>
    </x:row>
    <x:row r="79" ht="22" customHeight="1">
      <x:c r="A79" s="300" t="n">
        <x:v>2024</x:v>
      </x:c>
      <x:c r="B79" s="300" t="n">
        <x:v>7</x:v>
      </x:c>
      <x:c r="C79" s="300" t="str">
        <x:v>BRASKEM S.A</x:v>
      </x:c>
      <x:c r="D79" s="300" t="str">
        <x:v>42150391/0038-62</x:v>
      </x:c>
      <x:c r="E79" s="300" t="str"/>
      <x:c r="F79" s="300" t="str">
        <x:v>27101241</x:v>
      </x:c>
      <x:c r="G79" s="300" t="str">
        <x:v>Argélia</x:v>
      </x:c>
      <x:c r="H79" s="300" t="n">
        <x:v>85702756</x:v>
      </x:c>
      <x:c r="I79" s="300"/>
      <x:c r="J79" s="300"/>
      <x:c r="K79" s="300"/>
      <x:c r="L79" s="300"/>
      <x:c r="M79" s="300"/>
      <x:c r="N79" s="300"/>
    </x:row>
    <x:row r="80" ht="22" customHeight="1">
      <x:c r="A80" s="300" t="n">
        <x:v>2024</x:v>
      </x:c>
      <x:c r="B80" s="300" t="n">
        <x:v>7</x:v>
      </x:c>
      <x:c r="C80" s="300" t="str">
        <x:v>BRASKEM S.A</x:v>
      </x:c>
      <x:c r="D80" s="300" t="str">
        <x:v>42150391/0038-62</x:v>
      </x:c>
      <x:c r="E80" s="300" t="str"/>
      <x:c r="F80" s="300" t="str">
        <x:v>27101241</x:v>
      </x:c>
      <x:c r="G80" s="300" t="str">
        <x:v>Estados Unidos</x:v>
      </x:c>
      <x:c r="H80" s="300" t="n">
        <x:v>54718138</x:v>
      </x:c>
      <x:c r="I80" s="300"/>
      <x:c r="J80" s="300"/>
      <x:c r="K80" s="300"/>
      <x:c r="L80" s="300"/>
      <x:c r="M80" s="300"/>
      <x:c r="N80" s="300"/>
    </x:row>
    <x:row r="81" ht="22" customHeight="1">
      <x:c r="A81" s="300" t="n">
        <x:v>2024</x:v>
      </x:c>
      <x:c r="B81" s="300" t="n">
        <x:v>8</x:v>
      </x:c>
      <x:c r="C81" s="300" t="str">
        <x:v>BRASKEM S.A</x:v>
      </x:c>
      <x:c r="D81" s="300" t="str">
        <x:v>42150391/0001-70</x:v>
      </x:c>
      <x:c r="E81" s="300" t="str"/>
      <x:c r="F81" s="300" t="str">
        <x:v>27101241</x:v>
      </x:c>
      <x:c r="G81" s="300" t="str">
        <x:v>Argélia</x:v>
      </x:c>
      <x:c r="H81" s="300" t="n">
        <x:v>55607902</x:v>
      </x:c>
      <x:c r="I81" s="300"/>
      <x:c r="J81" s="300"/>
      <x:c r="K81" s="300"/>
      <x:c r="L81" s="300"/>
      <x:c r="M81" s="300"/>
      <x:c r="N81" s="300"/>
    </x:row>
    <x:row r="82" ht="22" customHeight="1">
      <x:c r="A82" s="300" t="n">
        <x:v>2024</x:v>
      </x:c>
      <x:c r="B82" s="300" t="n">
        <x:v>8</x:v>
      </x:c>
      <x:c r="C82" s="300" t="str">
        <x:v>BRASKEM S.A</x:v>
      </x:c>
      <x:c r="D82" s="300" t="str">
        <x:v>42150391/0001-70</x:v>
      </x:c>
      <x:c r="E82" s="300" t="str"/>
      <x:c r="F82" s="300" t="str">
        <x:v>27101241</x:v>
      </x:c>
      <x:c r="G82" s="300" t="str">
        <x:v>Espanha</x:v>
      </x:c>
      <x:c r="H82" s="300" t="n">
        <x:v>56811047</x:v>
      </x:c>
      <x:c r="I82" s="300"/>
      <x:c r="J82" s="300"/>
      <x:c r="K82" s="300"/>
      <x:c r="L82" s="300"/>
      <x:c r="M82" s="300"/>
      <x:c r="N82" s="300"/>
    </x:row>
    <x:row r="83" ht="22" customHeight="1">
      <x:c r="A83" s="300" t="n">
        <x:v>2024</x:v>
      </x:c>
      <x:c r="B83" s="300" t="n">
        <x:v>8</x:v>
      </x:c>
      <x:c r="C83" s="300" t="str">
        <x:v>BRASKEM S.A</x:v>
      </x:c>
      <x:c r="D83" s="300" t="str">
        <x:v>42150391/0001-70</x:v>
      </x:c>
      <x:c r="E83" s="300" t="str"/>
      <x:c r="F83" s="300" t="str">
        <x:v>27101241</x:v>
      </x:c>
      <x:c r="G83" s="300" t="str">
        <x:v>Estados Unidos</x:v>
      </x:c>
      <x:c r="H83" s="300" t="n">
        <x:v>108941657</x:v>
      </x:c>
      <x:c r="I83" s="300"/>
      <x:c r="J83" s="300"/>
      <x:c r="K83" s="300"/>
      <x:c r="L83" s="300"/>
      <x:c r="M83" s="300"/>
      <x:c r="N83" s="300"/>
    </x:row>
    <x:row r="84" ht="22" customHeight="1">
      <x:c r="A84" s="300" t="n">
        <x:v>2024</x:v>
      </x:c>
      <x:c r="B84" s="300" t="n">
        <x:v>8</x:v>
      </x:c>
      <x:c r="C84" s="300" t="str">
        <x:v>BRASKEM S.A</x:v>
      </x:c>
      <x:c r="D84" s="300" t="str">
        <x:v>42150391/0038-62</x:v>
      </x:c>
      <x:c r="E84" s="300" t="str"/>
      <x:c r="F84" s="300" t="str">
        <x:v>27101241</x:v>
      </x:c>
      <x:c r="G84" s="300" t="str">
        <x:v>Argélia</x:v>
      </x:c>
      <x:c r="H84" s="300" t="n">
        <x:v>85172089</x:v>
      </x:c>
      <x:c r="I84" s="300"/>
      <x:c r="J84" s="300"/>
      <x:c r="K84" s="300"/>
      <x:c r="L84" s="300"/>
      <x:c r="M84" s="300"/>
      <x:c r="N84" s="300"/>
    </x:row>
    <x:row r="85" ht="22" customHeight="1">
      <x:c r="A85" s="300" t="n">
        <x:v>2024</x:v>
      </x:c>
      <x:c r="B85" s="300" t="n">
        <x:v>8</x:v>
      </x:c>
      <x:c r="C85" s="300" t="str">
        <x:v>BRASKEM S.A</x:v>
      </x:c>
      <x:c r="D85" s="300" t="str">
        <x:v>42150391/0038-62</x:v>
      </x:c>
      <x:c r="E85" s="300" t="str"/>
      <x:c r="F85" s="300" t="str">
        <x:v>27101241</x:v>
      </x:c>
      <x:c r="G85" s="300" t="str">
        <x:v>Estados Unidos</x:v>
      </x:c>
      <x:c r="H85" s="300" t="n">
        <x:v>109821985</x:v>
      </x:c>
      <x:c r="I85" s="300"/>
      <x:c r="J85" s="300"/>
      <x:c r="K85" s="300"/>
      <x:c r="L85" s="300"/>
      <x:c r="M85" s="300"/>
      <x:c r="N85" s="300"/>
    </x:row>
    <x:row r="86" ht="22" customHeight="1">
      <x:c r="A86" s="300" t="n">
        <x:v>2024</x:v>
      </x:c>
      <x:c r="B86" s="300" t="n">
        <x:v>9</x:v>
      </x:c>
      <x:c r="C86" s="300" t="str">
        <x:v>BRASKEM S.A</x:v>
      </x:c>
      <x:c r="D86" s="300" t="str">
        <x:v>42150391/0001-70</x:v>
      </x:c>
      <x:c r="E86" s="300" t="str"/>
      <x:c r="F86" s="300" t="str">
        <x:v>27101241</x:v>
      </x:c>
      <x:c r="G86" s="300" t="str">
        <x:v>Espanha</x:v>
      </x:c>
      <x:c r="H86" s="300" t="n">
        <x:v>56784149</x:v>
      </x:c>
      <x:c r="I86" s="300"/>
      <x:c r="J86" s="300"/>
      <x:c r="K86" s="300"/>
      <x:c r="L86" s="300"/>
      <x:c r="M86" s="300"/>
      <x:c r="N86" s="300"/>
    </x:row>
    <x:row r="87" ht="22" customHeight="1">
      <x:c r="A87" s="300" t="n">
        <x:v>2024</x:v>
      </x:c>
      <x:c r="B87" s="300" t="n">
        <x:v>9</x:v>
      </x:c>
      <x:c r="C87" s="300" t="str">
        <x:v>BRASKEM S.A</x:v>
      </x:c>
      <x:c r="D87" s="300" t="str">
        <x:v>42150391/0001-70</x:v>
      </x:c>
      <x:c r="E87" s="300" t="str"/>
      <x:c r="F87" s="300" t="str">
        <x:v>27101241</x:v>
      </x:c>
      <x:c r="G87" s="300" t="str">
        <x:v>Estados Unidos</x:v>
      </x:c>
      <x:c r="H87" s="300" t="n">
        <x:v>112463298</x:v>
      </x:c>
      <x:c r="I87" s="300"/>
      <x:c r="J87" s="300"/>
      <x:c r="K87" s="300"/>
      <x:c r="L87" s="300"/>
      <x:c r="M87" s="300"/>
      <x:c r="N87" s="300"/>
    </x:row>
    <x:row r="88" ht="22" customHeight="1">
      <x:c r="A88" s="300" t="n">
        <x:v>2024</x:v>
      </x:c>
      <x:c r="B88" s="300" t="n">
        <x:v>9</x:v>
      </x:c>
      <x:c r="C88" s="300" t="str">
        <x:v>BRASKEM S.A</x:v>
      </x:c>
      <x:c r="D88" s="300" t="str">
        <x:v>42150391/0038-62</x:v>
      </x:c>
      <x:c r="E88" s="300" t="str"/>
      <x:c r="F88" s="300" t="str">
        <x:v>27101241</x:v>
      </x:c>
      <x:c r="G88" s="300" t="str">
        <x:v>Estados Unidos</x:v>
      </x:c>
      <x:c r="H88" s="300" t="n">
        <x:v>55942455</x:v>
      </x:c>
      <x:c r="I88" s="300"/>
      <x:c r="J88" s="300"/>
      <x:c r="K88" s="300"/>
      <x:c r="L88" s="300"/>
      <x:c r="M88" s="300"/>
      <x:c r="N88" s="300"/>
    </x:row>
    <x:row r="89" ht="22" customHeight="1">
      <x:c r="A89" s="300" t="n">
        <x:v>2024</x:v>
      </x:c>
      <x:c r="B89" s="300" t="n">
        <x:v>9</x:v>
      </x:c>
      <x:c r="C89" s="300" t="str">
        <x:v>BRASKEM S.A</x:v>
      </x:c>
      <x:c r="D89" s="300" t="str">
        <x:v>42150391/0038-62</x:v>
      </x:c>
      <x:c r="E89" s="300" t="str"/>
      <x:c r="F89" s="300" t="str">
        <x:v>27101241</x:v>
      </x:c>
      <x:c r="G89" s="300" t="str">
        <x:v>Finlândia</x:v>
      </x:c>
      <x:c r="H89" s="300" t="n">
        <x:v>689994</x:v>
      </x:c>
      <x:c r="I89" s="300"/>
      <x:c r="J89" s="300"/>
      <x:c r="K89" s="300"/>
      <x:c r="L89" s="300"/>
      <x:c r="M89" s="300"/>
      <x:c r="N89" s="300"/>
    </x:row>
    <x:row r="90" ht="22" customHeight="1">
      <x:c r="A90" s="300" t="n">
        <x:v>2024</x:v>
      </x:c>
      <x:c r="B90" s="300" t="n">
        <x:v>10</x:v>
      </x:c>
      <x:c r="C90" s="300" t="str">
        <x:v>BRASKEM S.A</x:v>
      </x:c>
      <x:c r="D90" s="300" t="str">
        <x:v>42150391/0001-70</x:v>
      </x:c>
      <x:c r="E90" s="300" t="str"/>
      <x:c r="F90" s="300" t="str">
        <x:v>27101241</x:v>
      </x:c>
      <x:c r="G90" s="300" t="str">
        <x:v>Espanha</x:v>
      </x:c>
      <x:c r="H90" s="300" t="n">
        <x:v>57730464</x:v>
      </x:c>
      <x:c r="I90" s="300"/>
      <x:c r="J90" s="300"/>
      <x:c r="K90" s="300"/>
      <x:c r="L90" s="300"/>
      <x:c r="M90" s="300"/>
      <x:c r="N90" s="300"/>
    </x:row>
    <x:row r="91" ht="22" customHeight="1">
      <x:c r="A91" s="300" t="n">
        <x:v>2024</x:v>
      </x:c>
      <x:c r="B91" s="300" t="n">
        <x:v>10</x:v>
      </x:c>
      <x:c r="C91" s="300" t="str">
        <x:v>BRASKEM S.A</x:v>
      </x:c>
      <x:c r="D91" s="300" t="str">
        <x:v>42150391/0001-70</x:v>
      </x:c>
      <x:c r="E91" s="300" t="str"/>
      <x:c r="F91" s="300" t="str">
        <x:v>27101241</x:v>
      </x:c>
      <x:c r="G91" s="300" t="str">
        <x:v>Estados Unidos</x:v>
      </x:c>
      <x:c r="H91" s="300" t="n">
        <x:v>92844346</x:v>
      </x:c>
      <x:c r="I91" s="300"/>
      <x:c r="J91" s="300"/>
      <x:c r="K91" s="300"/>
      <x:c r="L91" s="300"/>
      <x:c r="M91" s="300"/>
      <x:c r="N91" s="300"/>
    </x:row>
    <x:row r="92" ht="22" customHeight="1">
      <x:c r="A92" s="300" t="n">
        <x:v>2024</x:v>
      </x:c>
      <x:c r="B92" s="300" t="n">
        <x:v>10</x:v>
      </x:c>
      <x:c r="C92" s="300" t="str">
        <x:v>BRASKEM S.A</x:v>
      </x:c>
      <x:c r="D92" s="300" t="str">
        <x:v>42150391/0038-62</x:v>
      </x:c>
      <x:c r="E92" s="300" t="str"/>
      <x:c r="F92" s="300" t="str">
        <x:v>27101241</x:v>
      </x:c>
      <x:c r="G92" s="300" t="str">
        <x:v>Argélia</x:v>
      </x:c>
      <x:c r="H92" s="300" t="n">
        <x:v>58512513</x:v>
      </x:c>
      <x:c r="I92" s="300"/>
      <x:c r="J92" s="300"/>
      <x:c r="K92" s="300"/>
      <x:c r="L92" s="300"/>
      <x:c r="M92" s="300"/>
      <x:c r="N92" s="300"/>
    </x:row>
    <x:row r="93" ht="22" customHeight="1">
      <x:c r="A93" s="300" t="n">
        <x:v>2024</x:v>
      </x:c>
      <x:c r="B93" s="300" t="n">
        <x:v>11</x:v>
      </x:c>
      <x:c r="C93" s="300" t="str">
        <x:v>BRASKEM S.A</x:v>
      </x:c>
      <x:c r="D93" s="300" t="str">
        <x:v>42150391/0001-70</x:v>
      </x:c>
      <x:c r="E93" s="300" t="str"/>
      <x:c r="F93" s="300" t="str">
        <x:v>27101241</x:v>
      </x:c>
      <x:c r="G93" s="300" t="str">
        <x:v>Espanha</x:v>
      </x:c>
      <x:c r="H93" s="300" t="n">
        <x:v>57203045</x:v>
      </x:c>
      <x:c r="I93" s="300"/>
      <x:c r="J93" s="300"/>
      <x:c r="K93" s="300"/>
      <x:c r="L93" s="300"/>
      <x:c r="M93" s="300"/>
      <x:c r="N93" s="300"/>
    </x:row>
    <x:row r="94" ht="22" customHeight="1">
      <x:c r="A94" s="300" t="n">
        <x:v>2024</x:v>
      </x:c>
      <x:c r="B94" s="300" t="n">
        <x:v>11</x:v>
      </x:c>
      <x:c r="C94" s="300" t="str">
        <x:v>BRASKEM S.A</x:v>
      </x:c>
      <x:c r="D94" s="300" t="str">
        <x:v>42150391/0001-70</x:v>
      </x:c>
      <x:c r="E94" s="300" t="str"/>
      <x:c r="F94" s="300" t="str">
        <x:v>27101241</x:v>
      </x:c>
      <x:c r="G94" s="300" t="str">
        <x:v>Estados Unidos</x:v>
      </x:c>
      <x:c r="H94" s="300" t="n">
        <x:v>46809578</x:v>
      </x:c>
      <x:c r="I94" s="300"/>
      <x:c r="J94" s="300"/>
      <x:c r="K94" s="300"/>
      <x:c r="L94" s="300"/>
      <x:c r="M94" s="300"/>
      <x:c r="N94" s="300"/>
    </x:row>
    <x:row r="95" ht="22" customHeight="1">
      <x:c r="A95" s="300" t="n">
        <x:v>2024</x:v>
      </x:c>
      <x:c r="B95" s="300" t="n">
        <x:v>11</x:v>
      </x:c>
      <x:c r="C95" s="300" t="str">
        <x:v>BRASKEM S.A</x:v>
      </x:c>
      <x:c r="D95" s="300" t="str">
        <x:v>42150391/0038-62</x:v>
      </x:c>
      <x:c r="E95" s="300" t="str"/>
      <x:c r="F95" s="300" t="str">
        <x:v>27101241</x:v>
      </x:c>
      <x:c r="G95" s="300" t="str">
        <x:v>Estados Unidos</x:v>
      </x:c>
      <x:c r="H95" s="300" t="n">
        <x:v>55516923</x:v>
      </x:c>
      <x:c r="I95" s="300"/>
      <x:c r="J95" s="300"/>
      <x:c r="K95" s="300"/>
      <x:c r="L95" s="300"/>
      <x:c r="M95" s="300"/>
      <x:c r="N95" s="300"/>
    </x:row>
    <x:row r="96" ht="22" customHeight="1">
      <x:c r="A96" s="300" t="n">
        <x:v>2024</x:v>
      </x:c>
      <x:c r="B96" s="300" t="n">
        <x:v>12</x:v>
      </x:c>
      <x:c r="C96" s="300" t="str">
        <x:v>BRASKEM S.A</x:v>
      </x:c>
      <x:c r="D96" s="300" t="str">
        <x:v>42150391/0001-70</x:v>
      </x:c>
      <x:c r="E96" s="300" t="str"/>
      <x:c r="F96" s="300" t="str">
        <x:v>27101241</x:v>
      </x:c>
      <x:c r="G96" s="300" t="str">
        <x:v>Argélia</x:v>
      </x:c>
      <x:c r="H96" s="300" t="n">
        <x:v>38375225</x:v>
      </x:c>
      <x:c r="I96" s="300"/>
      <x:c r="J96" s="300"/>
      <x:c r="K96" s="300"/>
      <x:c r="L96" s="300"/>
      <x:c r="M96" s="300"/>
      <x:c r="N96" s="300"/>
    </x:row>
    <x:row r="97" ht="22" customHeight="1">
      <x:c r="A97" s="300" t="n">
        <x:v>2024</x:v>
      </x:c>
      <x:c r="B97" s="300" t="n">
        <x:v>12</x:v>
      </x:c>
      <x:c r="C97" s="300" t="str">
        <x:v>BRASKEM S.A</x:v>
      </x:c>
      <x:c r="D97" s="300" t="str">
        <x:v>42150391/0001-70</x:v>
      </x:c>
      <x:c r="E97" s="300" t="str"/>
      <x:c r="F97" s="300" t="str">
        <x:v>27101241</x:v>
      </x:c>
      <x:c r="G97" s="300" t="str">
        <x:v>Espanha</x:v>
      </x:c>
      <x:c r="H97" s="300" t="n">
        <x:v>71460879</x:v>
      </x:c>
      <x:c r="I97" s="300"/>
      <x:c r="J97" s="300"/>
      <x:c r="K97" s="300"/>
      <x:c r="L97" s="300"/>
      <x:c r="M97" s="300"/>
      <x:c r="N97" s="300"/>
    </x:row>
    <x:row r="98" ht="22" customHeight="1">
      <x:c r="A98" s="300" t="n">
        <x:v>2024</x:v>
      </x:c>
      <x:c r="B98" s="300" t="n">
        <x:v>12</x:v>
      </x:c>
      <x:c r="C98" s="300" t="str">
        <x:v>BRASKEM S.A</x:v>
      </x:c>
      <x:c r="D98" s="300" t="str">
        <x:v>42150391/0001-70</x:v>
      </x:c>
      <x:c r="E98" s="300" t="str"/>
      <x:c r="F98" s="300" t="str">
        <x:v>27101241</x:v>
      </x:c>
      <x:c r="G98" s="300" t="str">
        <x:v>Estados Unidos</x:v>
      </x:c>
      <x:c r="H98" s="300" t="n">
        <x:v>117935973</x:v>
      </x:c>
      <x:c r="I98" s="300"/>
      <x:c r="J98" s="300"/>
      <x:c r="K98" s="300"/>
      <x:c r="L98" s="300"/>
      <x:c r="M98" s="300"/>
      <x:c r="N98" s="300"/>
    </x:row>
    <x:row r="99" ht="22" customHeight="1">
      <x:c r="A99" s="300" t="n">
        <x:v>2024</x:v>
      </x:c>
      <x:c r="B99" s="300" t="n">
        <x:v>12</x:v>
      </x:c>
      <x:c r="C99" s="300" t="str">
        <x:v>BRASKEM S.A</x:v>
      </x:c>
      <x:c r="D99" s="300" t="str">
        <x:v>42150391/0038-62</x:v>
      </x:c>
      <x:c r="E99" s="300" t="str"/>
      <x:c r="F99" s="300" t="str">
        <x:v>27101241</x:v>
      </x:c>
      <x:c r="G99" s="300" t="str">
        <x:v>Argélia</x:v>
      </x:c>
      <x:c r="H99" s="300" t="n">
        <x:v>84706535</x:v>
      </x:c>
      <x:c r="I99" s="300"/>
      <x:c r="J99" s="300"/>
      <x:c r="K99" s="300"/>
      <x:c r="L99" s="300"/>
      <x:c r="M99" s="300"/>
      <x:c r="N99" s="300"/>
    </x:row>
    <x:row r="100" ht="22" customHeight="1">
      <x:c r="A100" s="300" t="n">
        <x:v>2025</x:v>
      </x:c>
      <x:c r="B100" s="300" t="n">
        <x:v>1</x:v>
      </x:c>
      <x:c r="C100" s="300" t="str">
        <x:v>BRASKEM S.A</x:v>
      </x:c>
      <x:c r="D100" s="300" t="str">
        <x:v>42150391/0001-70</x:v>
      </x:c>
      <x:c r="E100" s="300" t="str">
        <x:v>BAHIA</x:v>
      </x:c>
      <x:c r="F100" s="300" t="str">
        <x:v>27101241</x:v>
      </x:c>
      <x:c r="G100" s="300" t="str">
        <x:v>Espanha</x:v>
      </x:c>
      <x:c r="H100" s="300" t="n">
        <x:v>57032307</x:v>
      </x:c>
      <x:c r="I100" s="300"/>
      <x:c r="J100" s="300"/>
      <x:c r="K100" s="300"/>
      <x:c r="L100" s="300"/>
      <x:c r="M100" s="300"/>
      <x:c r="N100" s="300"/>
    </x:row>
    <x:row r="101" ht="22" customHeight="1">
      <x:c r="A101" s="300" t="n">
        <x:v>2025</x:v>
      </x:c>
      <x:c r="B101" s="300" t="n">
        <x:v>1</x:v>
      </x:c>
      <x:c r="C101" s="300" t="str">
        <x:v>BRASKEM S.A</x:v>
      </x:c>
      <x:c r="D101" s="300" t="str">
        <x:v>42150391/0001-70</x:v>
      </x:c>
      <x:c r="E101" s="300" t="str">
        <x:v>BAHIA</x:v>
      </x:c>
      <x:c r="F101" s="300" t="str">
        <x:v>27101241</x:v>
      </x:c>
      <x:c r="G101" s="300" t="str">
        <x:v>Estados Unidos</x:v>
      </x:c>
      <x:c r="H101" s="300" t="n">
        <x:v>222034873</x:v>
      </x:c>
      <x:c r="I101" s="300"/>
      <x:c r="J101" s="300"/>
      <x:c r="K101" s="300"/>
      <x:c r="L101" s="300"/>
      <x:c r="M101" s="300"/>
      <x:c r="N101" s="300"/>
    </x:row>
    <x:row r="102" ht="22" customHeight="1">
      <x:c r="A102" s="300" t="n">
        <x:v>2025</x:v>
      </x:c>
      <x:c r="B102" s="300" t="n">
        <x:v>1</x:v>
      </x:c>
      <x:c r="C102" s="300" t="str">
        <x:v>BRASKEM S.A</x:v>
      </x:c>
      <x:c r="D102" s="300" t="str">
        <x:v>42150391/0038-62</x:v>
      </x:c>
      <x:c r="E102" s="300" t="str">
        <x:v>RIO GRANDE DO SUL</x:v>
      </x:c>
      <x:c r="F102" s="300" t="str">
        <x:v>27101241</x:v>
      </x:c>
      <x:c r="G102" s="300" t="str">
        <x:v>Angola</x:v>
      </x:c>
      <x:c r="H102" s="300" t="n">
        <x:v>23957493</x:v>
      </x:c>
      <x:c r="I102" s="300"/>
      <x:c r="J102" s="300"/>
      <x:c r="K102" s="300"/>
      <x:c r="L102" s="300"/>
      <x:c r="M102" s="300"/>
      <x:c r="N102" s="300"/>
    </x:row>
    <x:row r="103" ht="22" customHeight="1">
      <x:c r="A103" s="300" t="n">
        <x:v>2025</x:v>
      </x:c>
      <x:c r="B103" s="300" t="n">
        <x:v>1</x:v>
      </x:c>
      <x:c r="C103" s="300" t="str">
        <x:v>BRASKEM S.A</x:v>
      </x:c>
      <x:c r="D103" s="300" t="str">
        <x:v>42150391/0038-62</x:v>
      </x:c>
      <x:c r="E103" s="300" t="str">
        <x:v>RIO GRANDE DO SUL</x:v>
      </x:c>
      <x:c r="F103" s="300" t="str">
        <x:v>27101241</x:v>
      </x:c>
      <x:c r="G103" s="300" t="str">
        <x:v>Argélia</x:v>
      </x:c>
      <x:c r="H103" s="300" t="n">
        <x:v>84224851</x:v>
      </x:c>
      <x:c r="I103" s="300"/>
      <x:c r="J103" s="300"/>
      <x:c r="K103" s="300"/>
      <x:c r="L103" s="300"/>
      <x:c r="M103" s="300"/>
      <x:c r="N103" s="300"/>
    </x:row>
    <x:row r="104" ht="22" customHeight="1">
      <x:c r="A104" s="300" t="n">
        <x:v>2025</x:v>
      </x:c>
      <x:c r="B104" s="300" t="n">
        <x:v>1</x:v>
      </x:c>
      <x:c r="C104" s="300" t="str">
        <x:v>BRASKEM S.A</x:v>
      </x:c>
      <x:c r="D104" s="300" t="str">
        <x:v>42150391/0038-62</x:v>
      </x:c>
      <x:c r="E104" s="300" t="str">
        <x:v>RIO GRANDE DO SUL</x:v>
      </x:c>
      <x:c r="F104" s="300" t="str">
        <x:v>27101241</x:v>
      </x:c>
      <x:c r="G104" s="300" t="str">
        <x:v>Estados Unidos</x:v>
      </x:c>
      <x:c r="H104" s="300" t="n">
        <x:v>17545514</x:v>
      </x:c>
      <x:c r="I104" s="300"/>
      <x:c r="J104" s="300"/>
      <x:c r="K104" s="300"/>
      <x:c r="L104" s="300"/>
      <x:c r="M104" s="300"/>
      <x:c r="N104" s="300"/>
    </x:row>
    <x:row r="105" ht="22" customHeight="1">
      <x:c r="A105" s="300" t="n">
        <x:v>2025</x:v>
      </x:c>
      <x:c r="B105" s="300" t="n">
        <x:v>1</x:v>
      </x:c>
      <x:c r="C105" s="300" t="str">
        <x:v>BRASKEM S.A</x:v>
      </x:c>
      <x:c r="D105" s="300" t="str">
        <x:v>42150391/0038-62</x:v>
      </x:c>
      <x:c r="E105" s="300" t="str">
        <x:v>RIO GRANDE DO SUL</x:v>
      </x:c>
      <x:c r="F105" s="300" t="str">
        <x:v>27101241</x:v>
      </x:c>
      <x:c r="G105" s="300" t="str">
        <x:v>Finlândia</x:v>
      </x:c>
      <x:c r="H105" s="300" t="n">
        <x:v>2090262</x:v>
      </x:c>
      <x:c r="I105" s="300"/>
      <x:c r="J105" s="300"/>
      <x:c r="K105" s="300"/>
      <x:c r="L105" s="300"/>
      <x:c r="M105" s="300"/>
      <x:c r="N105" s="300"/>
    </x:row>
    <x:row r="106" ht="22" customHeight="1">
      <x:c r="A106" s="300" t="n">
        <x:v>2025</x:v>
      </x:c>
      <x:c r="B106" s="300" t="n">
        <x:v>1</x:v>
      </x:c>
      <x:c r="C106" s="300" t="str">
        <x:v>BRASKEM S.A</x:v>
      </x:c>
      <x:c r="D106" s="300" t="str">
        <x:v>42150391/0038-62</x:v>
      </x:c>
      <x:c r="E106" s="300" t="str">
        <x:v>RIO GRANDE DO SUL</x:v>
      </x:c>
      <x:c r="F106" s="300" t="str">
        <x:v>27101241</x:v>
      </x:c>
      <x:c r="G106" s="300" t="str">
        <x:v>Estados Unidos</x:v>
      </x:c>
      <x:c r="H106" s="300" t="n">
        <x:v>37959485</x:v>
      </x:c>
      <x:c r="I106" s="300"/>
      <x:c r="J106" s="300"/>
      <x:c r="K106" s="300"/>
      <x:c r="L106" s="300"/>
      <x:c r="M106" s="300"/>
      <x:c r="N106" s="300"/>
    </x:row>
    <x:row r="107" ht="22" customHeight="1">
      <x:c r="A107" s="300" t="n">
        <x:v>2025</x:v>
      </x:c>
      <x:c r="B107" s="300" t="n">
        <x:v>2</x:v>
      </x:c>
      <x:c r="C107" s="300" t="str">
        <x:v>BRASKEM S.A</x:v>
      </x:c>
      <x:c r="D107" s="300" t="str">
        <x:v>42150391/0001-70</x:v>
      </x:c>
      <x:c r="E107" s="300" t="str">
        <x:v>BAHIA</x:v>
      </x:c>
      <x:c r="F107" s="300" t="str">
        <x:v>27101241</x:v>
      </x:c>
      <x:c r="G107" s="300" t="str">
        <x:v>Espanha</x:v>
      </x:c>
      <x:c r="H107" s="300" t="n">
        <x:v>56341765</x:v>
      </x:c>
      <x:c r="I107" s="300"/>
      <x:c r="J107" s="300"/>
      <x:c r="K107" s="300"/>
      <x:c r="L107" s="300"/>
      <x:c r="M107" s="300"/>
      <x:c r="N107" s="300"/>
    </x:row>
    <x:row r="108" ht="22" customHeight="1">
      <x:c r="A108" s="300" t="n">
        <x:v>2025</x:v>
      </x:c>
      <x:c r="B108" s="300" t="n">
        <x:v>2</x:v>
      </x:c>
      <x:c r="C108" s="300" t="str">
        <x:v>BRASKEM S.A</x:v>
      </x:c>
      <x:c r="D108" s="300" t="str">
        <x:v>42150391/0001-70</x:v>
      </x:c>
      <x:c r="E108" s="300" t="str">
        <x:v>BAHIA</x:v>
      </x:c>
      <x:c r="F108" s="300" t="str">
        <x:v>27101241</x:v>
      </x:c>
      <x:c r="G108" s="300" t="str">
        <x:v>Estados Unidos</x:v>
      </x:c>
      <x:c r="H108" s="300" t="n">
        <x:v>110910183</x:v>
      </x:c>
      <x:c r="I108" s="300"/>
      <x:c r="J108" s="300"/>
      <x:c r="K108" s="300"/>
      <x:c r="L108" s="300"/>
      <x:c r="M108" s="300"/>
      <x:c r="N108" s="300"/>
    </x:row>
    <x:row r="109" ht="22" customHeight="1">
      <x:c r="A109" s="300" t="n">
        <x:v>2025</x:v>
      </x:c>
      <x:c r="B109" s="300" t="n">
        <x:v>2</x:v>
      </x:c>
      <x:c r="C109" s="300" t="str">
        <x:v>BRASKEM S.A</x:v>
      </x:c>
      <x:c r="D109" s="300" t="str">
        <x:v>42150391/0038-62</x:v>
      </x:c>
      <x:c r="E109" s="300" t="str">
        <x:v>RIO GRANDE DO SUL</x:v>
      </x:c>
      <x:c r="F109" s="300" t="str">
        <x:v>27101241</x:v>
      </x:c>
      <x:c r="G109" s="300" t="str">
        <x:v>Estados Unidos</x:v>
      </x:c>
      <x:c r="H109" s="300" t="n">
        <x:v>52677271</x:v>
      </x:c>
      <x:c r="I109" s="300"/>
      <x:c r="J109" s="300"/>
      <x:c r="K109" s="300"/>
      <x:c r="L109" s="300"/>
      <x:c r="M109" s="300"/>
      <x:c r="N109" s="300"/>
    </x:row>
    <x:row r="110" ht="22" customHeight="1">
      <x:c r="A110" s="300" t="n">
        <x:v>2025</x:v>
      </x:c>
      <x:c r="B110" s="300" t="n">
        <x:v>2</x:v>
      </x:c>
      <x:c r="C110" s="300" t="str">
        <x:v>BRASKEM S.A</x:v>
      </x:c>
      <x:c r="D110" s="300" t="str">
        <x:v>42150391/0038-62</x:v>
      </x:c>
      <x:c r="E110" s="300" t="str">
        <x:v>RIO GRANDE DO SUL</x:v>
      </x:c>
      <x:c r="F110" s="300" t="str">
        <x:v>27101241</x:v>
      </x:c>
      <x:c r="G110" s="300" t="str">
        <x:v>Peru</x:v>
      </x:c>
      <x:c r="H110" s="300" t="n">
        <x:v>32593338</x:v>
      </x:c>
      <x:c r="I110" s="300"/>
      <x:c r="J110" s="300"/>
      <x:c r="K110" s="300"/>
      <x:c r="L110" s="300"/>
      <x:c r="M110" s="300"/>
      <x:c r="N110" s="300"/>
    </x:row>
    <x:row r="111" ht="22" customHeight="1">
      <x:c r="A111" s="300" t="n">
        <x:v>2025</x:v>
      </x:c>
      <x:c r="B111" s="300" t="n">
        <x:v>3</x:v>
      </x:c>
      <x:c r="C111" s="300" t="str">
        <x:v>BRASKEM S.A</x:v>
      </x:c>
      <x:c r="D111" s="300" t="str">
        <x:v>42150391/0001-70</x:v>
      </x:c>
      <x:c r="E111" s="300" t="str">
        <x:v>BAHIA</x:v>
      </x:c>
      <x:c r="F111" s="300" t="str">
        <x:v>27101241</x:v>
      </x:c>
      <x:c r="G111" s="300" t="str">
        <x:v>Argentina</x:v>
      </x:c>
      <x:c r="H111" s="300" t="n">
        <x:v>12356877</x:v>
      </x:c>
      <x:c r="I111" s="300"/>
      <x:c r="J111" s="300"/>
      <x:c r="K111" s="300"/>
      <x:c r="L111" s="300"/>
      <x:c r="M111" s="300"/>
      <x:c r="N111" s="300"/>
    </x:row>
    <x:row r="112" ht="22" customHeight="1">
      <x:c r="A112" s="300" t="n">
        <x:v>2025</x:v>
      </x:c>
      <x:c r="B112" s="300" t="n">
        <x:v>3</x:v>
      </x:c>
      <x:c r="C112" s="300" t="str">
        <x:v>BRASKEM S.A</x:v>
      </x:c>
      <x:c r="D112" s="300" t="str">
        <x:v>42150391/0001-70</x:v>
      </x:c>
      <x:c r="E112" s="300" t="str">
        <x:v>BAHIA</x:v>
      </x:c>
      <x:c r="F112" s="300" t="str">
        <x:v>27101241</x:v>
      </x:c>
      <x:c r="G112" s="300" t="str">
        <x:v>Espanha</x:v>
      </x:c>
      <x:c r="H112" s="300" t="n">
        <x:v>32200161</x:v>
      </x:c>
      <x:c r="I112" s="300"/>
      <x:c r="J112" s="300"/>
      <x:c r="K112" s="300"/>
      <x:c r="L112" s="300"/>
      <x:c r="M112" s="300"/>
      <x:c r="N112" s="300"/>
    </x:row>
    <x:row r="113" ht="22" customHeight="1">
      <x:c r="A113" s="300" t="n">
        <x:v>2025</x:v>
      </x:c>
      <x:c r="B113" s="300" t="n">
        <x:v>3</x:v>
      </x:c>
      <x:c r="C113" s="300" t="str">
        <x:v>BRASKEM S.A</x:v>
      </x:c>
      <x:c r="D113" s="300" t="str">
        <x:v>42150391/0001-70</x:v>
      </x:c>
      <x:c r="E113" s="300" t="str">
        <x:v>BAHIA</x:v>
      </x:c>
      <x:c r="F113" s="300" t="str">
        <x:v>27101241</x:v>
      </x:c>
      <x:c r="G113" s="300" t="str">
        <x:v>Estados Unidos</x:v>
      </x:c>
      <x:c r="H113" s="300" t="n">
        <x:v>110727801</x:v>
      </x:c>
      <x:c r="I113" s="300"/>
      <x:c r="J113" s="300"/>
      <x:c r="K113" s="300"/>
      <x:c r="L113" s="300"/>
      <x:c r="M113" s="300"/>
      <x:c r="N113" s="300"/>
    </x:row>
    <x:row r="114" ht="22" customHeight="1">
      <x:c r="A114" s="300" t="n">
        <x:v>2025</x:v>
      </x:c>
      <x:c r="B114" s="300" t="n">
        <x:v>3</x:v>
      </x:c>
      <x:c r="C114" s="300" t="str">
        <x:v>BRASKEM S.A</x:v>
      </x:c>
      <x:c r="D114" s="300" t="str">
        <x:v>42150391/0038-62</x:v>
      </x:c>
      <x:c r="E114" s="300" t="str">
        <x:v>RIO GRANDE DO SUL</x:v>
      </x:c>
      <x:c r="F114" s="300" t="str">
        <x:v>27101241</x:v>
      </x:c>
      <x:c r="G114" s="300" t="str">
        <x:v>Argélia</x:v>
      </x:c>
      <x:c r="H114" s="300" t="n">
        <x:v>85924650</x:v>
      </x:c>
      <x:c r="I114" s="300"/>
      <x:c r="J114" s="300"/>
      <x:c r="K114" s="300"/>
      <x:c r="L114" s="300"/>
      <x:c r="M114" s="300"/>
      <x:c r="N114" s="300"/>
    </x:row>
    <x:row r="115" ht="22" customHeight="1">
      <x:c r="A115" s="300" t="n">
        <x:v>2025</x:v>
      </x:c>
      <x:c r="B115" s="300" t="n">
        <x:v>4</x:v>
      </x:c>
      <x:c r="C115" s="300" t="str">
        <x:v>BRASKEM S.A</x:v>
      </x:c>
      <x:c r="D115" s="300" t="str">
        <x:v>42150391/0001-70</x:v>
      </x:c>
      <x:c r="E115" s="300" t="str">
        <x:v>BAHIA</x:v>
      </x:c>
      <x:c r="F115" s="300" t="str">
        <x:v>27101241</x:v>
      </x:c>
      <x:c r="G115" s="300" t="str">
        <x:v>Estados Unidos</x:v>
      </x:c>
      <x:c r="H115" s="300" t="n">
        <x:v>111166639</x:v>
      </x:c>
      <x:c r="I115" s="300"/>
      <x:c r="J115" s="300"/>
      <x:c r="K115" s="300"/>
      <x:c r="L115" s="300"/>
      <x:c r="M115" s="300"/>
      <x:c r="N115" s="300"/>
    </x:row>
    <x:row r="116" ht="22" customHeight="1">
      <x:c r="A116" s="300" t="n">
        <x:v>2025</x:v>
      </x:c>
      <x:c r="B116" s="300" t="n">
        <x:v>4</x:v>
      </x:c>
      <x:c r="C116" s="300" t="str">
        <x:v>BRASKEM S.A</x:v>
      </x:c>
      <x:c r="D116" s="300" t="str">
        <x:v>42150391/0038-62</x:v>
      </x:c>
      <x:c r="E116" s="300" t="str">
        <x:v>RIO GRANDE DO SUL</x:v>
      </x:c>
      <x:c r="F116" s="300" t="str">
        <x:v>27101241</x:v>
      </x:c>
      <x:c r="G116" s="300" t="str">
        <x:v>Argélia</x:v>
      </x:c>
      <x:c r="H116" s="300" t="n">
        <x:v>36152904</x:v>
      </x:c>
      <x:c r="I116" s="300"/>
      <x:c r="J116" s="300"/>
      <x:c r="K116" s="300"/>
      <x:c r="L116" s="300"/>
      <x:c r="M116" s="300"/>
      <x:c r="N116" s="300"/>
    </x:row>
    <x:row r="117" ht="22" customHeight="1">
      <x:c r="A117" s="300" t="n">
        <x:v>2025</x:v>
      </x:c>
      <x:c r="B117" s="300" t="n">
        <x:v>4</x:v>
      </x:c>
      <x:c r="C117" s="300" t="str">
        <x:v>BRASKEM S.A</x:v>
      </x:c>
      <x:c r="D117" s="300" t="str">
        <x:v>42150391/0038-62</x:v>
      </x:c>
      <x:c r="E117" s="300" t="str">
        <x:v>RIO GRANDE DO SUL</x:v>
      </x:c>
      <x:c r="F117" s="300" t="str">
        <x:v>27101241</x:v>
      </x:c>
      <x:c r="G117" s="300" t="str">
        <x:v>Estados Unidos</x:v>
      </x:c>
      <x:c r="H117" s="300" t="n">
        <x:v>111708845</x:v>
      </x:c>
      <x:c r="I117" s="300"/>
      <x:c r="J117" s="300"/>
      <x:c r="K117" s="300"/>
      <x:c r="L117" s="300"/>
      <x:c r="M117" s="300"/>
      <x:c r="N117" s="300"/>
    </x:row>
    <x:row r="118" ht="22" customHeight="1">
      <x:c r="A118" s="300" t="n">
        <x:v>2025</x:v>
      </x:c>
      <x:c r="B118" s="300" t="n">
        <x:v>5</x:v>
      </x:c>
      <x:c r="C118" s="300" t="str">
        <x:v>BRASKEM S.A</x:v>
      </x:c>
      <x:c r="D118" s="300" t="str">
        <x:v>42150391/0001-70</x:v>
      </x:c>
      <x:c r="E118" s="300" t="str">
        <x:v>BAHIA</x:v>
      </x:c>
      <x:c r="F118" s="300" t="str">
        <x:v>27101241</x:v>
      </x:c>
      <x:c r="G118" s="300" t="str">
        <x:v>Espanha</x:v>
      </x:c>
      <x:c r="H118" s="300" t="n">
        <x:v>36154719</x:v>
      </x:c>
      <x:c r="I118" s="300"/>
      <x:c r="J118" s="300"/>
      <x:c r="K118" s="300"/>
      <x:c r="L118" s="300"/>
      <x:c r="M118" s="300"/>
      <x:c r="N118" s="300"/>
    </x:row>
    <x:row r="119" ht="22" customHeight="1">
      <x:c r="A119" s="300" t="n">
        <x:v>2025</x:v>
      </x:c>
      <x:c r="B119" s="300" t="n">
        <x:v>5</x:v>
      </x:c>
      <x:c r="C119" s="300" t="str">
        <x:v>BRASKEM S.A</x:v>
      </x:c>
      <x:c r="D119" s="300" t="str">
        <x:v>42150391/0001-70</x:v>
      </x:c>
      <x:c r="E119" s="300" t="str">
        <x:v>BAHIA</x:v>
      </x:c>
      <x:c r="F119" s="300" t="str">
        <x:v>27101241</x:v>
      </x:c>
      <x:c r="G119" s="300" t="str">
        <x:v>Estados Unidos</x:v>
      </x:c>
      <x:c r="H119" s="300" t="n">
        <x:v>34832826</x:v>
      </x:c>
      <x:c r="I119" s="300"/>
      <x:c r="J119" s="300"/>
      <x:c r="K119" s="300"/>
      <x:c r="L119" s="300"/>
      <x:c r="M119" s="300"/>
      <x:c r="N119" s="300"/>
    </x:row>
    <x:row r="120" ht="22" customHeight="1">
      <x:c r="A120" s="300" t="n">
        <x:v>2025</x:v>
      </x:c>
      <x:c r="B120" s="300" t="n">
        <x:v>5</x:v>
      </x:c>
      <x:c r="C120" s="300" t="str">
        <x:v>BRASKEM S.A</x:v>
      </x:c>
      <x:c r="D120" s="300" t="str">
        <x:v>42150391/0038-62</x:v>
      </x:c>
      <x:c r="E120" s="300" t="str">
        <x:v>RIO GRANDE DO SUL</x:v>
      </x:c>
      <x:c r="F120" s="300" t="str">
        <x:v>27101241</x:v>
      </x:c>
      <x:c r="G120" s="300" t="str">
        <x:v>Argélia</x:v>
      </x:c>
      <x:c r="H120" s="300" t="n">
        <x:v>85787392</x:v>
      </x:c>
      <x:c r="I120" s="300"/>
      <x:c r="J120" s="300"/>
      <x:c r="K120" s="300"/>
      <x:c r="L120" s="300"/>
      <x:c r="M120" s="300"/>
      <x:c r="N120" s="300"/>
    </x:row>
    <x:row r="121" ht="22" customHeight="1">
      <x:c r="A121" s="300" t="n">
        <x:v>2025</x:v>
      </x:c>
      <x:c r="B121" s="300" t="n">
        <x:v>5</x:v>
      </x:c>
      <x:c r="C121" s="300" t="str">
        <x:v>BRASKEM S.A</x:v>
      </x:c>
      <x:c r="D121" s="300" t="str">
        <x:v>42150391/0038-62</x:v>
      </x:c>
      <x:c r="E121" s="300" t="str">
        <x:v>RIO GRANDE DO SUL</x:v>
      </x:c>
      <x:c r="F121" s="300" t="str">
        <x:v>27101241</x:v>
      </x:c>
      <x:c r="G121" s="300" t="str">
        <x:v>Estados Unidos</x:v>
      </x:c>
      <x:c r="H121" s="300" t="n">
        <x:v>53709439</x:v>
      </x:c>
      <x:c r="I121" s="300"/>
      <x:c r="J121" s="300"/>
      <x:c r="K121" s="300"/>
      <x:c r="L121" s="300"/>
      <x:c r="M121" s="300"/>
      <x:c r="N121" s="300"/>
    </x:row>
    <x:row r="122" ht="22" customHeight="1">
      <x:c r="A122" s="300" t="n">
        <x:v>2025</x:v>
      </x:c>
      <x:c r="B122" s="300" t="n">
        <x:v>6</x:v>
      </x:c>
      <x:c r="C122" s="300" t="str">
        <x:v>BRASKEM S.A</x:v>
      </x:c>
      <x:c r="D122" s="300" t="str">
        <x:v>42150391/0001-70</x:v>
      </x:c>
      <x:c r="E122" s="300" t="str">
        <x:v>BAHIA</x:v>
      </x:c>
      <x:c r="F122" s="300" t="str">
        <x:v>27101241</x:v>
      </x:c>
      <x:c r="G122" s="300" t="str">
        <x:v>Estados Unidos</x:v>
      </x:c>
      <x:c r="H122" s="300" t="n">
        <x:v>54746213</x:v>
      </x:c>
      <x:c r="I122" s="300"/>
      <x:c r="J122" s="300"/>
      <x:c r="K122" s="300"/>
      <x:c r="L122" s="300"/>
      <x:c r="M122" s="300"/>
      <x:c r="N122" s="300"/>
    </x:row>
    <x:row r="123" ht="22" customHeight="1">
      <x:c r="A123" s="300" t="n">
        <x:v>2025</x:v>
      </x:c>
      <x:c r="B123" s="300" t="n">
        <x:v>7</x:v>
      </x:c>
      <x:c r="C123" s="300" t="str">
        <x:v>BRASKEM S.A</x:v>
      </x:c>
      <x:c r="D123" s="300" t="str">
        <x:v>42150391/0001-70</x:v>
      </x:c>
      <x:c r="E123" s="300" t="str">
        <x:v>BAHIA</x:v>
      </x:c>
      <x:c r="F123" s="300" t="str">
        <x:v>27101241</x:v>
      </x:c>
      <x:c r="G123" s="300" t="str">
        <x:v>Estados Unidos</x:v>
      </x:c>
      <x:c r="H123" s="300" t="n">
        <x:v>57371065</x:v>
      </x:c>
      <x:c r="I123" s="300"/>
      <x:c r="J123" s="300"/>
      <x:c r="K123" s="300"/>
      <x:c r="L123" s="300"/>
      <x:c r="M123" s="300"/>
      <x:c r="N123" s="300"/>
    </x:row>
    <x:row r="124" ht="22" customHeight="1">
      <x:c r="A124" s="300" t="n">
        <x:v>2025</x:v>
      </x:c>
      <x:c r="B124" s="300" t="n">
        <x:v>7</x:v>
      </x:c>
      <x:c r="C124" s="300" t="str">
        <x:v>BRASKEM S.A</x:v>
      </x:c>
      <x:c r="D124" s="300" t="str">
        <x:v>42150391/0038-62</x:v>
      </x:c>
      <x:c r="E124" s="300" t="str">
        <x:v>RIO GRANDE DO SUL</x:v>
      </x:c>
      <x:c r="F124" s="300" t="str">
        <x:v>27101241</x:v>
      </x:c>
      <x:c r="G124" s="300" t="str">
        <x:v>Estados Unidos</x:v>
      </x:c>
      <x:c r="H124" s="300" t="n">
        <x:v>53810881</x:v>
      </x:c>
      <x:c r="I124" s="300"/>
      <x:c r="J124" s="300"/>
      <x:c r="K124" s="300"/>
      <x:c r="L124" s="300"/>
      <x:c r="M124" s="300"/>
      <x:c r="N124" s="300"/>
    </x:row>
    <x:row r="125" ht="22" customHeight="1">
      <x:c r="A125" s="300" t="n">
        <x:v>2025</x:v>
      </x:c>
      <x:c r="B125" s="300" t="n">
        <x:v>8</x:v>
      </x:c>
      <x:c r="C125" s="300" t="str">
        <x:v>BRASKEM S.A</x:v>
      </x:c>
      <x:c r="D125" s="300" t="str">
        <x:v>42150391/0038-62</x:v>
      </x:c>
      <x:c r="E125" s="300" t="str">
        <x:v>RIO GRANDE DO SUL</x:v>
      </x:c>
      <x:c r="F125" s="300" t="str">
        <x:v>27101241</x:v>
      </x:c>
      <x:c r="G125" s="300" t="str">
        <x:v>Peru</x:v>
      </x:c>
      <x:c r="H125" s="300" t="n">
        <x:v>4248152</x:v>
      </x:c>
      <x:c r="I125" s="300"/>
      <x:c r="J125" s="300"/>
      <x:c r="K125" s="300"/>
      <x:c r="L125" s="300"/>
      <x:c r="M125" s="300"/>
      <x:c r="N125" s="300"/>
    </x:row>
    <x:row r="126" ht="22" customHeight="1">
      <x:c r="A126" s="300" t="n">
        <x:v>2025</x:v>
      </x:c>
      <x:c r="B126" s="300" t="n">
        <x:v>9</x:v>
      </x:c>
      <x:c r="C126" s="300" t="str">
        <x:v>BRASKEM S.A</x:v>
      </x:c>
      <x:c r="D126" s="300" t="str">
        <x:v>42150391/0001-70</x:v>
      </x:c>
      <x:c r="E126" s="300" t="str">
        <x:v>BAHIA</x:v>
      </x:c>
      <x:c r="F126" s="300" t="str">
        <x:v>27101241</x:v>
      </x:c>
      <x:c r="G126" s="300" t="str">
        <x:v>Angola</x:v>
      </x:c>
      <x:c r="H126" s="300" t="n">
        <x:v>35811278</x:v>
      </x:c>
      <x:c r="I126" s="300"/>
      <x:c r="J126" s="300"/>
      <x:c r="K126" s="300"/>
      <x:c r="L126" s="300"/>
      <x:c r="M126" s="300"/>
      <x:c r="N126" s="300"/>
    </x:row>
    <x:row r="127" ht="22" customHeight="1">
      <x:c r="A127" s="300" t="n">
        <x:v>2026</x:v>
      </x:c>
      <x:c r="B127" s="300" t="n">
        <x:v>1</x:v>
      </x:c>
      <x:c r="C127" s="300" t="str">
        <x:v>BRASKEM S.A</x:v>
      </x:c>
      <x:c r="D127" s="300" t="str">
        <x:v>42150391000170</x:v>
      </x:c>
      <x:c r="E127" s="300" t="str">
        <x:v>BA</x:v>
      </x:c>
      <x:c r="F127" s="300" t="str">
        <x:v>27101241</x:v>
      </x:c>
      <x:c r="G127" s="300" t="str">
        <x:v>CANARIAS</x:v>
      </x:c>
      <x:c r="H127" s="300" t="n">
        <x:v>58528935</x:v>
      </x:c>
      <x:c r="I127" s="300"/>
      <x:c r="J127" s="300"/>
      <x:c r="K127" s="300"/>
      <x:c r="L127" s="300"/>
      <x:c r="M127" s="300"/>
      <x:c r="N127" s="300"/>
    </x:row>
    <x:row r="128" ht="22" customHeight="1">
      <x:c r="A128" s="300" t="n">
        <x:v>2026</x:v>
      </x:c>
      <x:c r="B128" s="300" t="n">
        <x:v>1</x:v>
      </x:c>
      <x:c r="C128" s="300" t="str">
        <x:v>BRASKEM S.A</x:v>
      </x:c>
      <x:c r="D128" s="300" t="str">
        <x:v>42150391000170</x:v>
      </x:c>
      <x:c r="E128" s="300" t="str">
        <x:v>BA</x:v>
      </x:c>
      <x:c r="F128" s="300" t="str">
        <x:v>27101241</x:v>
      </x:c>
      <x:c r="G128" s="300" t="str">
        <x:v>ESTADOS UNIDOS</x:v>
      </x:c>
      <x:c r="H128" s="300" t="n">
        <x:v>82865844</x:v>
      </x:c>
      <x:c r="I128" s="300"/>
      <x:c r="J128" s="300"/>
      <x:c r="K128" s="300"/>
      <x:c r="L128" s="300"/>
      <x:c r="M128" s="300"/>
      <x:c r="N128" s="300"/>
    </x:row>
    <x:row r="129" ht="22" customHeight="1">
      <x:c r="A129" s="300" t="n">
        <x:v>2026</x:v>
      </x:c>
      <x:c r="B129" s="300" t="n">
        <x:v>1</x:v>
      </x:c>
      <x:c r="C129" s="300" t="str">
        <x:v>BRASKEM S.A</x:v>
      </x:c>
      <x:c r="D129" s="300" t="str">
        <x:v>42150391003862</x:v>
      </x:c>
      <x:c r="E129" s="300" t="str">
        <x:v>RS</x:v>
      </x:c>
      <x:c r="F129" s="300" t="str">
        <x:v>27101241</x:v>
      </x:c>
      <x:c r="G129" s="300" t="str">
        <x:v>ESTADOS UNIDOS</x:v>
      </x:c>
      <x:c r="H129" s="300" t="n">
        <x:v>139609066</x:v>
      </x:c>
      <x:c r="I129" s="300"/>
      <x:c r="J129" s="300"/>
      <x:c r="K129" s="300"/>
      <x:c r="L129" s="300"/>
      <x:c r="M129" s="300"/>
      <x:c r="N129" s="300"/>
    </x:row>
    <x:row r="130" ht="22" customHeight="1">
      <x:c r="A130" s="300" t="n">
        <x:v>2026</x:v>
      </x:c>
      <x:c r="B130" s="300" t="n">
        <x:v>2</x:v>
      </x:c>
      <x:c r="C130" s="300" t="str">
        <x:v>BRASKEM S.A</x:v>
      </x:c>
      <x:c r="D130" s="300" t="str">
        <x:v>42150391000170</x:v>
      </x:c>
      <x:c r="E130" s="300" t="str">
        <x:v>BA</x:v>
      </x:c>
      <x:c r="F130" s="300" t="str">
        <x:v>27101241</x:v>
      </x:c>
      <x:c r="G130" s="300" t="str">
        <x:v>CANARIAS</x:v>
      </x:c>
      <x:c r="H130" s="300" t="n">
        <x:v>36108936</x:v>
      </x:c>
      <x:c r="I130" s="300"/>
      <x:c r="J130" s="300"/>
      <x:c r="K130" s="300"/>
      <x:c r="L130" s="300"/>
      <x:c r="M130" s="300"/>
      <x:c r="N130" s="300"/>
    </x:row>
    <x:row r="131" ht="22" customHeight="1">
      <x:c r="A131" s="300" t="n">
        <x:v>2026</x:v>
      </x:c>
      <x:c r="B131" s="300" t="n">
        <x:v>2</x:v>
      </x:c>
      <x:c r="C131" s="300" t="str">
        <x:v>BRASKEM S.A</x:v>
      </x:c>
      <x:c r="D131" s="300" t="str">
        <x:v>42150391000170</x:v>
      </x:c>
      <x:c r="E131" s="300" t="str">
        <x:v>BA</x:v>
      </x:c>
      <x:c r="F131" s="300" t="str">
        <x:v>27101241</x:v>
      </x:c>
      <x:c r="G131" s="300" t="str">
        <x:v>ESTADOS UNIDOS</x:v>
      </x:c>
      <x:c r="H131" s="300" t="n">
        <x:v>114415977</x:v>
      </x:c>
      <x:c r="I131" s="300"/>
      <x:c r="J131" s="300"/>
      <x:c r="K131" s="300"/>
      <x:c r="L131" s="300"/>
      <x:c r="M131" s="300"/>
      <x:c r="N131" s="300"/>
    </x:row>
    <x:row r="132" ht="22" customHeight="1">
      <x:c r="A132" s="300" t="n">
        <x:v>2026</x:v>
      </x:c>
      <x:c r="B132" s="300" t="n">
        <x:v>2</x:v>
      </x:c>
      <x:c r="C132" s="300" t="str">
        <x:v>BRASKEM S.A</x:v>
      </x:c>
      <x:c r="D132" s="300" t="str">
        <x:v>42150391003862</x:v>
      </x:c>
      <x:c r="E132" s="300" t="str">
        <x:v>RS</x:v>
      </x:c>
      <x:c r="F132" s="300" t="str">
        <x:v>27101241</x:v>
      </x:c>
      <x:c r="G132" s="300" t="str">
        <x:v>ESTADOS UNIDOS</x:v>
      </x:c>
      <x:c r="H132" s="300" t="n">
        <x:v>160046026</x:v>
      </x:c>
      <x:c r="I132" s="300"/>
      <x:c r="J132" s="300"/>
      <x:c r="K132" s="300"/>
      <x:c r="L132" s="300"/>
      <x:c r="M132" s="300"/>
      <x:c r="N132" s="300"/>
    </x:row>
    <x:row r="133" ht="22" customHeight="1">
      <x:c r="A133" s="300" t="n">
        <x:v>2026</x:v>
      </x:c>
      <x:c r="B133" s="300" t="n">
        <x:v>3</x:v>
      </x:c>
      <x:c r="C133" s="300" t="str">
        <x:v>BRASKEM S.A</x:v>
      </x:c>
      <x:c r="D133" s="300" t="str">
        <x:v>42150391000170</x:v>
      </x:c>
      <x:c r="E133" s="300" t="str">
        <x:v>BA</x:v>
      </x:c>
      <x:c r="F133" s="300" t="str">
        <x:v>27101241</x:v>
      </x:c>
      <x:c r="G133" s="300" t="str">
        <x:v>CANARIAS</x:v>
      </x:c>
      <x:c r="H133" s="300" t="n">
        <x:v>37561684</x:v>
      </x:c>
      <x:c r="I133" s="300"/>
      <x:c r="J133" s="300"/>
      <x:c r="K133" s="300"/>
      <x:c r="L133" s="300"/>
      <x:c r="M133" s="300"/>
      <x:c r="N133" s="300"/>
    </x:row>
    <x:row r="134" ht="22" customHeight="1">
      <x:c r="A134" s="300" t="n">
        <x:v>2026</x:v>
      </x:c>
      <x:c r="B134" s="300" t="n">
        <x:v>3</x:v>
      </x:c>
      <x:c r="C134" s="300" t="str">
        <x:v>BRASKEM S.A</x:v>
      </x:c>
      <x:c r="D134" s="300" t="str">
        <x:v>42150391000170</x:v>
      </x:c>
      <x:c r="E134" s="300" t="str">
        <x:v>BA</x:v>
      </x:c>
      <x:c r="F134" s="300" t="str">
        <x:v>27101241</x:v>
      </x:c>
      <x:c r="G134" s="300" t="str">
        <x:v>ESTADOS UNIDOS</x:v>
      </x:c>
      <x:c r="H134" s="300" t="n">
        <x:v>199941199</x:v>
      </x:c>
      <x:c r="I134" s="300"/>
      <x:c r="J134" s="300"/>
      <x:c r="K134" s="300"/>
      <x:c r="L134" s="300"/>
      <x:c r="M134" s="300"/>
      <x:c r="N134" s="300"/>
    </x:row>
    <x:row r="135" ht="22" customHeight="1">
      <x:c r="A135" s="300" t="n">
        <x:v>2026</x:v>
      </x:c>
      <x:c r="B135" s="300" t="n">
        <x:v>3</x:v>
      </x:c>
      <x:c r="C135" s="300" t="str">
        <x:v>BRASKEM S.A</x:v>
      </x:c>
      <x:c r="D135" s="300" t="str">
        <x:v>42150391003862</x:v>
      </x:c>
      <x:c r="E135" s="300" t="str">
        <x:v>RS</x:v>
      </x:c>
      <x:c r="F135" s="300" t="str">
        <x:v>27101241</x:v>
      </x:c>
      <x:c r="G135" s="300" t="str">
        <x:v>ESTADOS UNIDOS</x:v>
      </x:c>
      <x:c r="H135" s="300" t="n">
        <x:v>82758579</x:v>
      </x:c>
      <x:c r="I135" s="300"/>
      <x:c r="J135" s="300"/>
      <x:c r="K135" s="300"/>
      <x:c r="L135" s="300"/>
      <x:c r="M135" s="300"/>
      <x:c r="N135" s="300"/>
    </x:row>
    <x:row r="136" ht="22" customHeight="1">
      <x:c r="A136" s="300" t="n">
        <x:v>2026</x:v>
      </x:c>
      <x:c r="B136" s="300" t="n">
        <x:v>4</x:v>
      </x:c>
      <x:c r="C136" s="300" t="str">
        <x:v>BRASKEM S.A</x:v>
      </x:c>
      <x:c r="D136" s="300" t="str">
        <x:v>42150391000170</x:v>
      </x:c>
      <x:c r="E136" s="300" t="str">
        <x:v>BA</x:v>
      </x:c>
      <x:c r="F136" s="300" t="str">
        <x:v>27101241</x:v>
      </x:c>
      <x:c r="G136" s="300" t="str">
        <x:v>CANARIAS</x:v>
      </x:c>
      <x:c r="H136" s="300" t="n">
        <x:v>36400790</x:v>
      </x:c>
      <x:c r="I136" s="300"/>
      <x:c r="J136" s="300"/>
      <x:c r="K136" s="300"/>
      <x:c r="L136" s="300"/>
      <x:c r="M136" s="300"/>
      <x:c r="N136" s="300"/>
    </x:row>
    <x:row r="137" ht="22" customHeight="1">
      <x:c r="A137" s="300" t="n">
        <x:v>2026</x:v>
      </x:c>
      <x:c r="B137" s="300" t="n">
        <x:v>4</x:v>
      </x:c>
      <x:c r="C137" s="300" t="str">
        <x:v>BRASKEM S.A</x:v>
      </x:c>
      <x:c r="D137" s="300" t="str">
        <x:v>42150391000170</x:v>
      </x:c>
      <x:c r="E137" s="300" t="str">
        <x:v>BA</x:v>
      </x:c>
      <x:c r="F137" s="300" t="str">
        <x:v>27101241</x:v>
      </x:c>
      <x:c r="G137" s="300" t="str">
        <x:v>ESTADOS UNIDOS</x:v>
      </x:c>
      <x:c r="H137" s="300" t="n">
        <x:v>57285344</x:v>
      </x:c>
      <x:c r="I137" s="300"/>
      <x:c r="J137" s="300"/>
      <x:c r="K137" s="300"/>
      <x:c r="L137" s="300"/>
      <x:c r="M137" s="300"/>
      <x:c r="N137" s="300"/>
    </x:row>
    <x:row r="138" ht="22" customHeight="1">
      <x:c r="A138" s="300" t="n">
        <x:v>2026</x:v>
      </x:c>
      <x:c r="B138" s="300" t="n">
        <x:v>4</x:v>
      </x:c>
      <x:c r="C138" s="300" t="str">
        <x:v>BRASKEM S.A</x:v>
      </x:c>
      <x:c r="D138" s="300" t="str">
        <x:v>42150391003862</x:v>
      </x:c>
      <x:c r="E138" s="300" t="str">
        <x:v>RS</x:v>
      </x:c>
      <x:c r="F138" s="300" t="str">
        <x:v>27101241</x:v>
      </x:c>
      <x:c r="G138" s="300" t="str">
        <x:v>ESTADOS UNIDOS</x:v>
      </x:c>
      <x:c r="H138" s="300" t="n">
        <x:v>112636681</x:v>
      </x:c>
      <x:c r="I138" s="300"/>
      <x:c r="J138" s="300"/>
      <x:c r="K138" s="300"/>
      <x:c r="L138" s="300"/>
      <x:c r="M138" s="300"/>
      <x:c r="N138" s="300"/>
    </x:row>
    <x:row r="139" ht="22" customHeight="1">
      <x:c r="A139" s="300" t="n">
        <x:v>2026</x:v>
      </x:c>
      <x:c r="B139" s="300" t="n">
        <x:v>5</x:v>
      </x:c>
      <x:c r="C139" s="300" t="str">
        <x:v>BRASKEM S.A</x:v>
      </x:c>
      <x:c r="D139" s="300" t="str">
        <x:v>42150391000170</x:v>
      </x:c>
      <x:c r="E139" s="300" t="str">
        <x:v>BA</x:v>
      </x:c>
      <x:c r="F139" s="300" t="str">
        <x:v>27101241</x:v>
      </x:c>
      <x:c r="G139" s="300" t="str">
        <x:v>ESTADOS UNIDOS</x:v>
      </x:c>
      <x:c r="H139" s="300" t="n">
        <x:v>57965585</x:v>
      </x:c>
      <x:c r="I139" s="300"/>
      <x:c r="J139" s="300"/>
      <x:c r="K139" s="300"/>
      <x:c r="L139" s="300"/>
      <x:c r="M139" s="300"/>
      <x:c r="N139" s="300"/>
    </x:row>
    <x:row r="140" ht="22" customHeight="1">
      <x:c r="A140" s="300" t="n">
        <x:v>2026</x:v>
      </x:c>
      <x:c r="B140" s="300" t="n">
        <x:v>5</x:v>
      </x:c>
      <x:c r="C140" s="300" t="str">
        <x:v>BRASKEM S.A</x:v>
      </x:c>
      <x:c r="D140" s="300" t="str">
        <x:v>42150391000170</x:v>
      </x:c>
      <x:c r="E140" s="300" t="str">
        <x:v>BA</x:v>
      </x:c>
      <x:c r="F140" s="300" t="str">
        <x:v>27101241</x:v>
      </x:c>
      <x:c r="G140" s="300" t="str">
        <x:v>HOLANDA (PAISES BAIXOS)</x:v>
      </x:c>
      <x:c r="H140" s="300" t="n">
        <x:v>37279628</x:v>
      </x:c>
      <x:c r="I140" s="300"/>
      <x:c r="J140" s="300"/>
      <x:c r="K140" s="300"/>
      <x:c r="L140" s="300"/>
      <x:c r="M140" s="300"/>
      <x:c r="N140" s="300"/>
    </x:row>
    <x:row r="141" ht="22" customHeight="1">
      <x:c r="A141" s="300" t="n">
        <x:v>2026</x:v>
      </x:c>
      <x:c r="B141" s="300" t="n">
        <x:v>6</x:v>
      </x:c>
      <x:c r="C141" s="300" t="str">
        <x:v>BRASKEM S.A</x:v>
      </x:c>
      <x:c r="D141" s="300" t="str">
        <x:v>42150391000170</x:v>
      </x:c>
      <x:c r="E141" s="300" t="str">
        <x:v>BA</x:v>
      </x:c>
      <x:c r="F141" s="300" t="str">
        <x:v>27101241</x:v>
      </x:c>
      <x:c r="G141" s="300" t="str">
        <x:v>CANARIAS</x:v>
      </x:c>
      <x:c r="H141" s="300" t="n">
        <x:v>35073526</x:v>
      </x:c>
      <x:c r="I141" s="300"/>
      <x:c r="J141" s="300"/>
      <x:c r="K141" s="300"/>
      <x:c r="L141" s="300"/>
      <x:c r="M141" s="300"/>
      <x:c r="N141" s="300"/>
    </x:row>
    <x:row r="142" ht="22" customHeight="1">
      <x:c r="A142" s="300" t="n">
        <x:v>2026</x:v>
      </x:c>
      <x:c r="B142" s="300" t="n">
        <x:v>6</x:v>
      </x:c>
      <x:c r="C142" s="300" t="str">
        <x:v>BRASKEM S.A</x:v>
      </x:c>
      <x:c r="D142" s="300" t="str">
        <x:v>42150391000170</x:v>
      </x:c>
      <x:c r="E142" s="300" t="str">
        <x:v>BA</x:v>
      </x:c>
      <x:c r="F142" s="300" t="str">
        <x:v>27101241</x:v>
      </x:c>
      <x:c r="G142" s="300" t="str">
        <x:v>ESTADOS UNIDOS</x:v>
      </x:c>
      <x:c r="H142" s="300" t="n">
        <x:v>170718379</x:v>
      </x:c>
      <x:c r="I142" s="300"/>
      <x:c r="J142" s="300"/>
      <x:c r="K142" s="300"/>
      <x:c r="L142" s="300"/>
      <x:c r="M142" s="300"/>
      <x:c r="N142" s="300"/>
    </x:row>
    <x:row r="143" ht="22" customHeight="1">
      <x:c r="A143" s="300" t="n">
        <x:v>2026</x:v>
      </x:c>
      <x:c r="B143" s="300" t="n">
        <x:v>7</x:v>
      </x:c>
      <x:c r="C143" s="300" t="str">
        <x:v>BRASKEM S.A</x:v>
      </x:c>
      <x:c r="D143" s="300" t="str">
        <x:v>42150391000170</x:v>
      </x:c>
      <x:c r="E143" s="300" t="str">
        <x:v>BA</x:v>
      </x:c>
      <x:c r="F143" s="300" t="str">
        <x:v>27101241</x:v>
      </x:c>
      <x:c r="G143" s="300" t="str">
        <x:v>CANARIAS</x:v>
      </x:c>
      <x:c r="H143" s="300" t="n">
        <x:v>36547741</x:v>
      </x:c>
      <x:c r="I143" s="300"/>
      <x:c r="J143" s="300"/>
      <x:c r="K143" s="300"/>
      <x:c r="L143" s="300"/>
      <x:c r="M143" s="300"/>
      <x:c r="N143" s="300"/>
    </x:row>
    <x:row r="144" ht="22" customHeight="1">
      <x:c r="A144" s="300" t="n">
        <x:v>2026</x:v>
      </x:c>
      <x:c r="B144" s="300" t="n">
        <x:v>7</x:v>
      </x:c>
      <x:c r="C144" s="300" t="str">
        <x:v>BRASKEM S.A</x:v>
      </x:c>
      <x:c r="D144" s="300" t="str">
        <x:v>42150391000170</x:v>
      </x:c>
      <x:c r="E144" s="300" t="str">
        <x:v>BA</x:v>
      </x:c>
      <x:c r="F144" s="300" t="str">
        <x:v>27101241</x:v>
      </x:c>
      <x:c r="G144" s="300" t="str">
        <x:v>ESTADOS UNIDOS</x:v>
      </x:c>
      <x:c r="H144" s="300" t="n">
        <x:v>115621163</x:v>
      </x:c>
      <x:c r="I144" s="300"/>
      <x:c r="J144" s="300"/>
      <x:c r="K144" s="300"/>
      <x:c r="L144" s="300"/>
      <x:c r="M144" s="300"/>
      <x:c r="N144" s="300"/>
    </x:row>
    <x:row r="145" ht="22" customHeight="1">
      <x:c r="A145" s="300" t="n">
        <x:v>2026</x:v>
      </x:c>
      <x:c r="B145" s="300" t="n">
        <x:v>7</x:v>
      </x:c>
      <x:c r="C145" s="300" t="str">
        <x:v>BRASKEM S.A</x:v>
      </x:c>
      <x:c r="D145" s="300" t="str">
        <x:v>42150391003862</x:v>
      </x:c>
      <x:c r="E145" s="300" t="str">
        <x:v>RS</x:v>
      </x:c>
      <x:c r="F145" s="300" t="str">
        <x:v>27101241</x:v>
      </x:c>
      <x:c r="G145" s="300" t="str">
        <x:v>ARGENTINA</x:v>
      </x:c>
      <x:c r="H145" s="300" t="n">
        <x:v>24825037</x:v>
      </x:c>
      <x:c r="I145" s="300"/>
      <x:c r="J145" s="300"/>
      <x:c r="K145" s="300"/>
      <x:c r="L145" s="300"/>
      <x:c r="M145" s="300"/>
      <x:c r="N145" s="300"/>
    </x:row>
    <x:row r="146" ht="22" customHeight="1">
      <x:c r="A146" s="300" t="n">
        <x:v>2026</x:v>
      </x:c>
      <x:c r="B146" s="300" t="n">
        <x:v>8</x:v>
      </x:c>
      <x:c r="C146" s="300" t="str">
        <x:v>BRASKEM S.A</x:v>
      </x:c>
      <x:c r="D146" s="300" t="str">
        <x:v>42150391000170</x:v>
      </x:c>
      <x:c r="E146" s="300" t="str">
        <x:v>BA</x:v>
      </x:c>
      <x:c r="F146" s="300" t="str">
        <x:v>27101241</x:v>
      </x:c>
      <x:c r="G146" s="300" t="str">
        <x:v>ESTADOS UNIDOS</x:v>
      </x:c>
      <x:c r="H146" s="300" t="n">
        <x:v>128610440.276</x:v>
      </x:c>
      <x:c r="I146" s="300"/>
      <x:c r="J146" s="300"/>
      <x:c r="K146" s="300"/>
      <x:c r="L146" s="300"/>
      <x:c r="M146" s="300"/>
      <x:c r="N146" s="300"/>
    </x:row>
    <x:row r="147" ht="22" customHeight="1">
      <x:c r="A147" s="300" t="n">
        <x:v>2026</x:v>
      </x:c>
      <x:c r="B147" s="300" t="n">
        <x:v>8</x:v>
      </x:c>
      <x:c r="C147" s="300" t="str">
        <x:v>BRASKEM S.A</x:v>
      </x:c>
      <x:c r="D147" s="300" t="str">
        <x:v>42150391003862</x:v>
      </x:c>
      <x:c r="E147" s="300" t="str">
        <x:v>RS</x:v>
      </x:c>
      <x:c r="F147" s="300" t="str">
        <x:v>27101241</x:v>
      </x:c>
      <x:c r="G147" s="300" t="str">
        <x:v>ARGELIA</x:v>
      </x:c>
      <x:c r="H147" s="300" t="n">
        <x:v>85411854</x:v>
      </x:c>
      <x:c r="I147" s="300"/>
      <x:c r="J147" s="300"/>
      <x:c r="K147" s="300"/>
      <x:c r="L147" s="300"/>
      <x:c r="M147" s="300"/>
      <x:c r="N147" s="300"/>
    </x:row>
    <x:row r="148" ht="22" customHeight="1">
      <x:c r="A148" s="300" t="n">
        <x:v>2026</x:v>
      </x:c>
      <x:c r="B148" s="300" t="n">
        <x:v>8</x:v>
      </x:c>
      <x:c r="C148" s="300" t="str">
        <x:v>BRASKEM S.A</x:v>
      </x:c>
      <x:c r="D148" s="300" t="str">
        <x:v>42150391003862</x:v>
      </x:c>
      <x:c r="E148" s="300" t="str">
        <x:v>RS</x:v>
      </x:c>
      <x:c r="F148" s="300" t="str">
        <x:v>27101241</x:v>
      </x:c>
      <x:c r="G148" s="300" t="str">
        <x:v>ARGENTINA</x:v>
      </x:c>
      <x:c r="H148" s="300" t="n">
        <x:v>26371369</x:v>
      </x:c>
      <x:c r="I148" s="300"/>
      <x:c r="J148" s="300"/>
      <x:c r="K148" s="300"/>
      <x:c r="L148" s="300"/>
      <x:c r="M148" s="300"/>
      <x:c r="N148" s="300"/>
    </x:row>
    <x:row r="149" ht="22" customHeight="1">
      <x:c r="A149" s="300"/>
      <x:c r="B149" s="300"/>
      <x:c r="C149" s="300"/>
      <x:c r="D149" s="300"/>
      <x:c r="E149" s="300"/>
      <x:c r="F149" s="300"/>
      <x:c r="G149" s="300"/>
      <x:c r="H149" s="300"/>
      <x:c r="I149" s="300"/>
      <x:c r="J149" s="300"/>
      <x:c r="K149" s="300"/>
      <x:c r="L149" s="300"/>
      <x:c r="M149" s="300"/>
      <x:c r="N149" s="300"/>
    </x:row>
    <x:row r="150" ht="22" customHeight="1">
      <x:c r="A150" s="300"/>
      <x:c r="B150" s="300"/>
      <x:c r="C150" s="300"/>
      <x:c r="D150" s="300"/>
      <x:c r="E150" s="300"/>
      <x:c r="F150" s="300"/>
      <x:c r="G150" s="300"/>
      <x:c r="H150" s="300"/>
      <x:c r="I150" s="300"/>
      <x:c r="J150" s="300"/>
      <x:c r="K150" s="300"/>
      <x:c r="L150" s="300"/>
      <x:c r="M150" s="300"/>
      <x:c r="N150" s="300"/>
    </x:row>
    <x:row r="151" ht="22" customHeight="1">
      <x:c r="A151" s="300"/>
      <x:c r="B151" s="300"/>
      <x:c r="C151" s="300"/>
      <x:c r="D151" s="300"/>
      <x:c r="E151" s="300"/>
      <x:c r="F151" s="300"/>
      <x:c r="G151" s="300"/>
      <x:c r="H151" s="300"/>
      <x:c r="I151" s="300"/>
      <x:c r="J151" s="300"/>
      <x:c r="K151" s="300"/>
      <x:c r="L151" s="300"/>
      <x:c r="M151" s="300"/>
      <x:c r="N151" s="300"/>
    </x:row>
    <x:row r="152" ht="22" customHeight="1">
      <x:c r="A152" s="300"/>
      <x:c r="B152" s="300"/>
      <x:c r="C152" s="300"/>
      <x:c r="D152" s="300"/>
      <x:c r="E152" s="300"/>
      <x:c r="F152" s="300"/>
      <x:c r="G152" s="300"/>
      <x:c r="H152" s="300"/>
      <x:c r="I152" s="300"/>
      <x:c r="J152" s="300"/>
      <x:c r="K152" s="300"/>
      <x:c r="L152" s="300"/>
      <x:c r="M152" s="300"/>
      <x:c r="N152" s="300"/>
    </x:row>
    <x:row r="153" ht="22" customHeight="1">
      <x:c r="A153" s="300"/>
      <x:c r="B153" s="300"/>
      <x:c r="C153" s="300"/>
      <x:c r="D153" s="300"/>
      <x:c r="E153" s="300"/>
      <x:c r="F153" s="300"/>
      <x:c r="G153" s="300"/>
      <x:c r="H153" s="300"/>
      <x:c r="I153" s="300"/>
      <x:c r="J153" s="300"/>
      <x:c r="K153" s="300"/>
      <x:c r="L153" s="300"/>
      <x:c r="M153" s="300"/>
      <x:c r="N153" s="300"/>
    </x:row>
    <x:row r="154" ht="22" customHeight="1">
      <x:c r="A154" s="300"/>
      <x:c r="B154" s="300"/>
      <x:c r="C154" s="300"/>
      <x:c r="D154" s="300"/>
      <x:c r="E154" s="300"/>
      <x:c r="F154" s="300"/>
      <x:c r="G154" s="300"/>
      <x:c r="H154" s="300"/>
      <x:c r="I154" s="300"/>
      <x:c r="J154" s="300"/>
      <x:c r="K154" s="300"/>
      <x:c r="L154" s="300"/>
      <x:c r="M154" s="300"/>
      <x:c r="N154" s="300"/>
    </x:row>
    <x:row r="155" ht="22" customHeight="1">
      <x:c r="A155" s="300"/>
      <x:c r="B155" s="300"/>
      <x:c r="C155" s="300"/>
      <x:c r="D155" s="300"/>
      <x:c r="E155" s="300"/>
      <x:c r="F155" s="300"/>
      <x:c r="G155" s="300"/>
      <x:c r="H155" s="300"/>
      <x:c r="I155" s="300"/>
      <x:c r="J155" s="300"/>
      <x:c r="K155" s="300"/>
      <x:c r="L155" s="300"/>
      <x:c r="M155" s="300"/>
      <x:c r="N155" s="300"/>
    </x:row>
    <x:row r="156" ht="22" customHeight="1">
      <x:c r="A156" s="300"/>
      <x:c r="B156" s="300"/>
      <x:c r="C156" s="300"/>
      <x:c r="D156" s="300"/>
      <x:c r="E156" s="300"/>
      <x:c r="F156" s="300"/>
      <x:c r="G156" s="300"/>
      <x:c r="H156" s="300"/>
      <x:c r="I156" s="300"/>
      <x:c r="J156" s="300"/>
      <x:c r="K156" s="300"/>
      <x:c r="L156" s="300"/>
      <x:c r="M156" s="300"/>
      <x:c r="N156" s="300"/>
    </x:row>
    <x:row r="157" ht="22" customHeight="1">
      <x:c r="A157" s="300"/>
      <x:c r="B157" s="300"/>
      <x:c r="C157" s="300"/>
      <x:c r="D157" s="300"/>
      <x:c r="E157" s="300"/>
      <x:c r="F157" s="300"/>
      <x:c r="G157" s="300"/>
      <x:c r="H157" s="300"/>
      <x:c r="I157" s="300"/>
      <x:c r="J157" s="300"/>
      <x:c r="K157" s="300"/>
      <x:c r="L157" s="300"/>
      <x:c r="M157" s="300"/>
      <x:c r="N157" s="300"/>
    </x:row>
    <x:row r="158" ht="22" customHeight="1">
      <x:c r="A158" s="300"/>
      <x:c r="B158" s="300"/>
      <x:c r="C158" s="300"/>
      <x:c r="D158" s="300"/>
      <x:c r="E158" s="300"/>
      <x:c r="F158" s="300"/>
      <x:c r="G158" s="300"/>
      <x:c r="H158" s="300"/>
      <x:c r="I158" s="300"/>
      <x:c r="J158" s="300"/>
      <x:c r="K158" s="300"/>
      <x:c r="L158" s="300"/>
      <x:c r="M158" s="300"/>
      <x:c r="N158" s="300"/>
    </x:row>
    <x:row r="159" ht="22" customHeight="1">
      <x:c r="A159" s="300"/>
      <x:c r="B159" s="300"/>
      <x:c r="C159" s="300"/>
      <x:c r="D159" s="300"/>
      <x:c r="E159" s="300"/>
      <x:c r="F159" s="300"/>
      <x:c r="G159" s="300"/>
      <x:c r="H159" s="300"/>
      <x:c r="I159" s="300"/>
      <x:c r="J159" s="300"/>
      <x:c r="K159" s="300"/>
      <x:c r="L159" s="300"/>
      <x:c r="M159" s="300"/>
      <x:c r="N159" s="300"/>
    </x:row>
    <x:row r="160" ht="22" customHeight="1">
      <x:c r="A160" s="300"/>
      <x:c r="B160" s="300"/>
      <x:c r="C160" s="300"/>
      <x:c r="D160" s="300"/>
      <x:c r="E160" s="300"/>
      <x:c r="F160" s="300"/>
      <x:c r="G160" s="300"/>
      <x:c r="H160" s="300"/>
      <x:c r="I160" s="300"/>
      <x:c r="J160" s="300"/>
      <x:c r="K160" s="300"/>
      <x:c r="L160" s="300"/>
      <x:c r="M160" s="300"/>
      <x:c r="N160" s="300"/>
    </x:row>
    <x:row r="161" ht="22" customHeight="1">
      <x:c r="A161" s="300"/>
      <x:c r="B161" s="300"/>
      <x:c r="C161" s="300"/>
      <x:c r="D161" s="300"/>
      <x:c r="E161" s="300"/>
      <x:c r="F161" s="300"/>
      <x:c r="G161" s="300"/>
      <x:c r="H161" s="300"/>
      <x:c r="I161" s="300"/>
      <x:c r="J161" s="300"/>
      <x:c r="K161" s="300"/>
      <x:c r="L161" s="300"/>
      <x:c r="M161" s="300"/>
      <x:c r="N161" s="300"/>
    </x:row>
    <x:row r="162" ht="22" customHeight="1">
      <x:c r="A162" s="300"/>
      <x:c r="B162" s="300"/>
      <x:c r="C162" s="300"/>
      <x:c r="D162" s="300"/>
      <x:c r="E162" s="300"/>
      <x:c r="F162" s="300"/>
      <x:c r="G162" s="300"/>
      <x:c r="H162" s="300"/>
      <x:c r="I162" s="300"/>
      <x:c r="J162" s="300"/>
      <x:c r="K162" s="300"/>
      <x:c r="L162" s="300"/>
      <x:c r="M162" s="300"/>
      <x:c r="N162" s="300"/>
    </x:row>
    <x:row r="163" ht="22" customHeight="1">
      <x:c r="A163" s="300"/>
      <x:c r="B163" s="300"/>
      <x:c r="C163" s="300"/>
      <x:c r="D163" s="300"/>
      <x:c r="E163" s="300"/>
      <x:c r="F163" s="300"/>
      <x:c r="G163" s="300"/>
      <x:c r="H163" s="300"/>
      <x:c r="I163" s="300"/>
      <x:c r="J163" s="300"/>
      <x:c r="K163" s="300"/>
      <x:c r="L163" s="300"/>
      <x:c r="M163" s="300"/>
      <x:c r="N163" s="300"/>
    </x:row>
    <x:row r="164" ht="22" customHeight="1">
      <x:c r="A164" s="300"/>
      <x:c r="B164" s="300"/>
      <x:c r="C164" s="300"/>
      <x:c r="D164" s="300"/>
      <x:c r="E164" s="300"/>
      <x:c r="F164" s="300"/>
      <x:c r="G164" s="300"/>
      <x:c r="H164" s="300"/>
      <x:c r="I164" s="300"/>
      <x:c r="J164" s="300"/>
      <x:c r="K164" s="300"/>
      <x:c r="L164" s="300"/>
      <x:c r="M164" s="300"/>
      <x:c r="N164" s="300"/>
    </x:row>
    <x:row r="165" ht="22" customHeight="1">
      <x:c r="A165" s="300"/>
      <x:c r="B165" s="300"/>
      <x:c r="C165" s="300"/>
      <x:c r="D165" s="300"/>
      <x:c r="E165" s="300"/>
      <x:c r="F165" s="300"/>
      <x:c r="G165" s="300"/>
      <x:c r="H165" s="300"/>
      <x:c r="I165" s="300"/>
      <x:c r="J165" s="300"/>
      <x:c r="K165" s="300"/>
      <x:c r="L165" s="300"/>
      <x:c r="M165" s="300"/>
      <x:c r="N165" s="300"/>
    </x:row>
    <x:row r="166" ht="22" customHeight="1">
      <x:c r="A166" s="300"/>
      <x:c r="B166" s="300"/>
      <x:c r="C166" s="300"/>
      <x:c r="D166" s="300"/>
      <x:c r="E166" s="300"/>
      <x:c r="F166" s="300"/>
      <x:c r="G166" s="300"/>
      <x:c r="H166" s="300"/>
      <x:c r="I166" s="300"/>
      <x:c r="J166" s="300"/>
      <x:c r="K166" s="300"/>
      <x:c r="L166" s="300"/>
      <x:c r="M166" s="300"/>
      <x:c r="N166" s="300"/>
    </x:row>
    <x:row r="167" ht="22" customHeight="1">
      <x:c r="A167" s="300"/>
      <x:c r="B167" s="300"/>
      <x:c r="C167" s="300"/>
      <x:c r="D167" s="300"/>
      <x:c r="E167" s="300"/>
      <x:c r="F167" s="300"/>
      <x:c r="G167" s="300"/>
      <x:c r="H167" s="300"/>
      <x:c r="I167" s="300"/>
      <x:c r="J167" s="300"/>
      <x:c r="K167" s="300"/>
      <x:c r="L167" s="300"/>
      <x:c r="M167" s="300"/>
      <x:c r="N167" s="300"/>
    </x:row>
    <x:row r="168" ht="22" customHeight="1">
      <x:c r="A168" s="300"/>
      <x:c r="B168" s="300"/>
      <x:c r="C168" s="300"/>
      <x:c r="D168" s="300"/>
      <x:c r="E168" s="300"/>
      <x:c r="F168" s="300"/>
      <x:c r="G168" s="300"/>
      <x:c r="H168" s="300"/>
      <x:c r="I168" s="300"/>
      <x:c r="J168" s="300"/>
      <x:c r="K168" s="300"/>
      <x:c r="L168" s="300"/>
      <x:c r="M168" s="300"/>
      <x:c r="N168" s="300"/>
    </x:row>
    <x:row r="169" ht="22" customHeight="1">
      <x:c r="A169" s="300"/>
      <x:c r="B169" s="300"/>
      <x:c r="C169" s="300"/>
      <x:c r="D169" s="300"/>
      <x:c r="E169" s="300"/>
      <x:c r="F169" s="300"/>
      <x:c r="G169" s="300"/>
      <x:c r="H169" s="300"/>
      <x:c r="I169" s="300"/>
      <x:c r="J169" s="300"/>
      <x:c r="K169" s="300"/>
      <x:c r="L169" s="300"/>
      <x:c r="M169" s="300"/>
      <x:c r="N169" s="300"/>
    </x:row>
    <x:row r="170" ht="22" customHeight="1">
      <x:c r="A170" s="300"/>
      <x:c r="B170" s="300"/>
      <x:c r="C170" s="300"/>
      <x:c r="D170" s="300"/>
      <x:c r="E170" s="300"/>
      <x:c r="F170" s="300"/>
      <x:c r="G170" s="300"/>
      <x:c r="H170" s="300"/>
      <x:c r="I170" s="300"/>
      <x:c r="J170" s="300"/>
      <x:c r="K170" s="300"/>
      <x:c r="L170" s="300"/>
      <x:c r="M170" s="300"/>
      <x:c r="N170" s="300"/>
    </x:row>
    <x:row r="171" ht="22" customHeight="1">
      <x:c r="A171" s="300"/>
      <x:c r="B171" s="300"/>
      <x:c r="C171" s="300"/>
      <x:c r="D171" s="300"/>
      <x:c r="E171" s="300"/>
      <x:c r="F171" s="300"/>
      <x:c r="G171" s="300"/>
      <x:c r="H171" s="300"/>
      <x:c r="I171" s="300"/>
      <x:c r="J171" s="300"/>
      <x:c r="K171" s="300"/>
      <x:c r="L171" s="300"/>
      <x:c r="M171" s="300"/>
      <x:c r="N171" s="300"/>
    </x:row>
    <x:row r="172" ht="22" customHeight="1">
      <x:c r="A172" s="300"/>
      <x:c r="B172" s="300"/>
      <x:c r="C172" s="300"/>
      <x:c r="D172" s="300"/>
      <x:c r="E172" s="300"/>
      <x:c r="F172" s="300"/>
      <x:c r="G172" s="300"/>
      <x:c r="H172" s="300"/>
      <x:c r="I172" s="300"/>
      <x:c r="J172" s="300"/>
      <x:c r="K172" s="300"/>
      <x:c r="L172" s="300"/>
      <x:c r="M172" s="300"/>
      <x:c r="N172" s="300"/>
    </x:row>
    <x:row r="173" ht="22" customHeight="1">
      <x:c r="A173" s="300"/>
      <x:c r="B173" s="300"/>
      <x:c r="C173" s="300"/>
      <x:c r="D173" s="300"/>
      <x:c r="E173" s="300"/>
      <x:c r="F173" s="300"/>
      <x:c r="G173" s="300"/>
      <x:c r="H173" s="300"/>
      <x:c r="I173" s="300"/>
      <x:c r="J173" s="300"/>
      <x:c r="K173" s="300"/>
      <x:c r="L173" s="300"/>
      <x:c r="M173" s="300"/>
      <x:c r="N173" s="300"/>
    </x:row>
    <x:row r="174" ht="22" customHeight="1">
      <x:c r="A174" s="300"/>
      <x:c r="B174" s="300"/>
      <x:c r="C174" s="300"/>
      <x:c r="D174" s="300"/>
      <x:c r="E174" s="300"/>
      <x:c r="F174" s="300"/>
      <x:c r="G174" s="300"/>
      <x:c r="H174" s="300"/>
      <x:c r="I174" s="300"/>
      <x:c r="J174" s="300"/>
      <x:c r="K174" s="300"/>
      <x:c r="L174" s="300"/>
      <x:c r="M174" s="300"/>
      <x:c r="N174" s="300"/>
    </x:row>
    <x:row r="175" ht="22" customHeight="1">
      <x:c r="A175" s="300"/>
      <x:c r="B175" s="300"/>
      <x:c r="C175" s="300"/>
      <x:c r="D175" s="300"/>
      <x:c r="E175" s="300"/>
      <x:c r="F175" s="300"/>
      <x:c r="G175" s="300"/>
      <x:c r="H175" s="300"/>
      <x:c r="I175" s="300"/>
      <x:c r="J175" s="300"/>
      <x:c r="K175" s="300"/>
      <x:c r="L175" s="300"/>
      <x:c r="M175" s="300"/>
      <x:c r="N175" s="300"/>
    </x:row>
    <x:row r="176" ht="22" customHeight="1">
      <x:c r="A176" s="300"/>
      <x:c r="B176" s="300"/>
      <x:c r="C176" s="300"/>
      <x:c r="D176" s="300"/>
      <x:c r="E176" s="300"/>
      <x:c r="F176" s="300"/>
      <x:c r="G176" s="300"/>
      <x:c r="H176" s="300"/>
      <x:c r="I176" s="300"/>
      <x:c r="J176" s="300"/>
      <x:c r="K176" s="300"/>
      <x:c r="L176" s="300"/>
      <x:c r="M176" s="300"/>
      <x:c r="N176" s="300"/>
    </x:row>
    <x:row r="177" ht="22" customHeight="1">
      <x:c r="A177" s="300"/>
      <x:c r="B177" s="300"/>
      <x:c r="C177" s="300"/>
      <x:c r="D177" s="300"/>
      <x:c r="E177" s="300"/>
      <x:c r="F177" s="300"/>
      <x:c r="G177" s="300"/>
      <x:c r="H177" s="300"/>
      <x:c r="I177" s="300"/>
      <x:c r="J177" s="300"/>
      <x:c r="K177" s="300"/>
      <x:c r="L177" s="300"/>
      <x:c r="M177" s="300"/>
      <x:c r="N177" s="300"/>
    </x:row>
    <x:row r="178" ht="22" customHeight="1">
      <x:c r="A178" s="300"/>
      <x:c r="B178" s="300"/>
      <x:c r="C178" s="300"/>
      <x:c r="D178" s="300"/>
      <x:c r="E178" s="300"/>
      <x:c r="F178" s="300"/>
      <x:c r="G178" s="300"/>
      <x:c r="H178" s="300"/>
      <x:c r="I178" s="300"/>
      <x:c r="J178" s="300"/>
      <x:c r="K178" s="300"/>
      <x:c r="L178" s="300"/>
      <x:c r="M178" s="300"/>
      <x:c r="N178" s="300"/>
    </x:row>
    <x:row r="179" ht="22" customHeight="1">
      <x:c r="A179" s="300"/>
      <x:c r="B179" s="300"/>
      <x:c r="C179" s="300"/>
      <x:c r="D179" s="300"/>
      <x:c r="E179" s="300"/>
      <x:c r="F179" s="300"/>
      <x:c r="G179" s="300"/>
      <x:c r="H179" s="300"/>
      <x:c r="I179" s="300"/>
      <x:c r="J179" s="300"/>
      <x:c r="K179" s="300"/>
      <x:c r="L179" s="300"/>
      <x:c r="M179" s="300"/>
      <x:c r="N179" s="300"/>
    </x:row>
    <x:row r="180" ht="22" customHeight="1">
      <x:c r="A180" s="300"/>
      <x:c r="B180" s="300"/>
      <x:c r="C180" s="300"/>
      <x:c r="D180" s="300"/>
      <x:c r="E180" s="300"/>
      <x:c r="F180" s="300"/>
      <x:c r="G180" s="300"/>
      <x:c r="H180" s="300"/>
      <x:c r="I180" s="300"/>
      <x:c r="J180" s="300"/>
      <x:c r="K180" s="300"/>
      <x:c r="L180" s="300"/>
      <x:c r="M180" s="300"/>
      <x:c r="N180" s="300"/>
    </x:row>
    <x:row r="181" ht="22" customHeight="1">
      <x:c r="A181" s="300"/>
      <x:c r="B181" s="300"/>
      <x:c r="C181" s="300"/>
      <x:c r="D181" s="300"/>
      <x:c r="E181" s="300"/>
      <x:c r="F181" s="300"/>
      <x:c r="G181" s="300"/>
      <x:c r="H181" s="300"/>
      <x:c r="I181" s="300"/>
      <x:c r="J181" s="300"/>
      <x:c r="K181" s="300"/>
      <x:c r="L181" s="300"/>
      <x:c r="M181" s="300"/>
      <x:c r="N181" s="300"/>
    </x:row>
    <x:row r="182" ht="22" customHeight="1">
      <x:c r="A182" s="300"/>
      <x:c r="B182" s="300"/>
      <x:c r="C182" s="300"/>
      <x:c r="D182" s="300"/>
      <x:c r="E182" s="300"/>
      <x:c r="F182" s="300"/>
      <x:c r="G182" s="300"/>
      <x:c r="H182" s="300"/>
      <x:c r="I182" s="300"/>
      <x:c r="J182" s="300"/>
      <x:c r="K182" s="300"/>
      <x:c r="L182" s="300"/>
      <x:c r="M182" s="300"/>
      <x:c r="N182" s="300"/>
    </x:row>
    <x:row r="183" ht="22" customHeight="1">
      <x:c r="A183" s="300"/>
      <x:c r="B183" s="300"/>
      <x:c r="C183" s="300"/>
      <x:c r="D183" s="300"/>
      <x:c r="E183" s="300"/>
      <x:c r="F183" s="300"/>
      <x:c r="G183" s="300"/>
      <x:c r="H183" s="300"/>
      <x:c r="I183" s="300"/>
      <x:c r="J183" s="300"/>
      <x:c r="K183" s="300"/>
      <x:c r="L183" s="300"/>
      <x:c r="M183" s="300"/>
      <x:c r="N183" s="300"/>
    </x:row>
    <x:row r="184" ht="22" customHeight="1">
      <x:c r="A184" s="300"/>
      <x:c r="B184" s="300"/>
      <x:c r="C184" s="300"/>
      <x:c r="D184" s="300"/>
      <x:c r="E184" s="300"/>
      <x:c r="F184" s="300"/>
      <x:c r="G184" s="300"/>
      <x:c r="H184" s="300"/>
      <x:c r="I184" s="300"/>
      <x:c r="J184" s="300"/>
      <x:c r="K184" s="300"/>
      <x:c r="L184" s="300"/>
      <x:c r="M184" s="300"/>
      <x:c r="N184" s="300"/>
    </x:row>
    <x:row r="185" ht="22" customHeight="1">
      <x:c r="A185" s="300"/>
      <x:c r="B185" s="300"/>
      <x:c r="C185" s="300"/>
      <x:c r="D185" s="300"/>
      <x:c r="E185" s="300"/>
      <x:c r="F185" s="300"/>
      <x:c r="G185" s="300"/>
      <x:c r="H185" s="300"/>
      <x:c r="I185" s="300"/>
      <x:c r="J185" s="300"/>
      <x:c r="K185" s="300"/>
      <x:c r="L185" s="300"/>
      <x:c r="M185" s="300"/>
      <x:c r="N185" s="300"/>
    </x:row>
    <x:row r="186" ht="22" customHeight="1">
      <x:c r="A186" s="300"/>
      <x:c r="B186" s="300"/>
      <x:c r="C186" s="300"/>
      <x:c r="D186" s="300"/>
      <x:c r="E186" s="300"/>
      <x:c r="F186" s="300"/>
      <x:c r="G186" s="300"/>
      <x:c r="H186" s="300"/>
      <x:c r="I186" s="300"/>
      <x:c r="J186" s="300"/>
      <x:c r="K186" s="300"/>
      <x:c r="L186" s="300"/>
      <x:c r="M186" s="300"/>
      <x:c r="N186" s="300"/>
    </x:row>
    <x:row r="187" ht="22" customHeight="1">
      <x:c r="A187" s="300"/>
      <x:c r="B187" s="300"/>
      <x:c r="C187" s="300"/>
      <x:c r="D187" s="300"/>
      <x:c r="E187" s="300"/>
      <x:c r="F187" s="300"/>
      <x:c r="G187" s="300"/>
      <x:c r="H187" s="300"/>
      <x:c r="I187" s="300"/>
      <x:c r="J187" s="300"/>
      <x:c r="K187" s="300"/>
      <x:c r="L187" s="300"/>
      <x:c r="M187" s="300"/>
      <x:c r="N187" s="300"/>
    </x:row>
    <x:row r="188" ht="22" customHeight="1">
      <x:c r="A188" s="300"/>
      <x:c r="B188" s="300"/>
      <x:c r="C188" s="300"/>
      <x:c r="D188" s="300"/>
      <x:c r="E188" s="300"/>
      <x:c r="F188" s="300"/>
      <x:c r="G188" s="300"/>
      <x:c r="H188" s="300"/>
      <x:c r="I188" s="300"/>
      <x:c r="J188" s="300"/>
      <x:c r="K188" s="300"/>
      <x:c r="L188" s="300"/>
      <x:c r="M188" s="300"/>
      <x:c r="N188" s="300"/>
    </x:row>
    <x:row r="189" ht="22" customHeight="1">
      <x:c r="A189" s="300"/>
      <x:c r="B189" s="300"/>
      <x:c r="C189" s="300"/>
      <x:c r="D189" s="300"/>
      <x:c r="E189" s="300"/>
      <x:c r="F189" s="300"/>
      <x:c r="G189" s="300"/>
      <x:c r="H189" s="300"/>
      <x:c r="I189" s="300"/>
      <x:c r="J189" s="300"/>
      <x:c r="K189" s="300"/>
      <x:c r="L189" s="300"/>
      <x:c r="M189" s="300"/>
      <x:c r="N189" s="300"/>
    </x:row>
    <x:row r="190" ht="22" customHeight="1">
      <x:c r="A190" s="300"/>
      <x:c r="B190" s="300"/>
      <x:c r="C190" s="300"/>
      <x:c r="D190" s="300"/>
      <x:c r="E190" s="300"/>
      <x:c r="F190" s="300"/>
      <x:c r="G190" s="300"/>
      <x:c r="H190" s="300"/>
      <x:c r="I190" s="300"/>
      <x:c r="J190" s="300"/>
      <x:c r="K190" s="300"/>
      <x:c r="L190" s="300"/>
      <x:c r="M190" s="300"/>
      <x:c r="N190" s="300"/>
    </x:row>
    <x:row r="191" ht="22" customHeight="1">
      <x:c r="A191" s="300"/>
      <x:c r="B191" s="300"/>
      <x:c r="C191" s="300"/>
      <x:c r="D191" s="300"/>
      <x:c r="E191" s="300"/>
      <x:c r="F191" s="300"/>
      <x:c r="G191" s="300"/>
      <x:c r="H191" s="300"/>
      <x:c r="I191" s="300"/>
      <x:c r="J191" s="300"/>
      <x:c r="K191" s="300"/>
      <x:c r="L191" s="300"/>
      <x:c r="M191" s="300"/>
      <x:c r="N191" s="300"/>
    </x:row>
    <x:row r="192" ht="22" customHeight="1">
      <x:c r="A192" s="300"/>
      <x:c r="B192" s="300"/>
      <x:c r="C192" s="300"/>
      <x:c r="D192" s="300"/>
      <x:c r="E192" s="300"/>
      <x:c r="F192" s="300"/>
      <x:c r="G192" s="300"/>
      <x:c r="H192" s="300"/>
      <x:c r="I192" s="300"/>
      <x:c r="J192" s="300"/>
      <x:c r="K192" s="300"/>
      <x:c r="L192" s="300"/>
      <x:c r="M192" s="300"/>
      <x:c r="N192" s="300"/>
    </x:row>
    <x:row r="193" ht="22" customHeight="1">
      <x:c r="A193" s="300"/>
      <x:c r="B193" s="300"/>
      <x:c r="C193" s="300"/>
      <x:c r="D193" s="300"/>
      <x:c r="E193" s="300"/>
      <x:c r="F193" s="300"/>
      <x:c r="G193" s="300"/>
      <x:c r="H193" s="300"/>
      <x:c r="I193" s="300"/>
      <x:c r="J193" s="300"/>
      <x:c r="K193" s="300"/>
      <x:c r="L193" s="300"/>
      <x:c r="M193" s="300"/>
      <x:c r="N193" s="300"/>
    </x:row>
    <x:row r="194" ht="22" customHeight="1">
      <x:c r="A194" s="300"/>
      <x:c r="B194" s="300"/>
      <x:c r="C194" s="300"/>
      <x:c r="D194" s="300"/>
      <x:c r="E194" s="300"/>
      <x:c r="F194" s="300"/>
      <x:c r="G194" s="300"/>
      <x:c r="H194" s="300"/>
      <x:c r="I194" s="300"/>
      <x:c r="J194" s="300"/>
      <x:c r="K194" s="300"/>
      <x:c r="L194" s="300"/>
      <x:c r="M194" s="300"/>
      <x:c r="N194" s="300"/>
    </x:row>
    <x:row r="195" ht="22" customHeight="1">
      <x:c r="A195" s="300"/>
      <x:c r="B195" s="300"/>
      <x:c r="C195" s="300"/>
      <x:c r="D195" s="300"/>
      <x:c r="E195" s="300"/>
      <x:c r="F195" s="300"/>
      <x:c r="G195" s="300"/>
      <x:c r="H195" s="300"/>
      <x:c r="I195" s="300"/>
      <x:c r="J195" s="300"/>
      <x:c r="K195" s="300"/>
      <x:c r="L195" s="300"/>
      <x:c r="M195" s="300"/>
      <x:c r="N195" s="300"/>
    </x:row>
    <x:row r="196" ht="22" customHeight="1">
      <x:c r="A196" s="300"/>
      <x:c r="B196" s="300"/>
      <x:c r="C196" s="300"/>
      <x:c r="D196" s="300"/>
      <x:c r="E196" s="300"/>
      <x:c r="F196" s="300"/>
      <x:c r="G196" s="300"/>
      <x:c r="H196" s="300"/>
      <x:c r="I196" s="300"/>
      <x:c r="J196" s="300"/>
      <x:c r="K196" s="300"/>
      <x:c r="L196" s="300"/>
      <x:c r="M196" s="300"/>
      <x:c r="N196" s="300"/>
    </x:row>
    <x:row r="197" ht="22" customHeight="1">
      <x:c r="A197" s="300"/>
      <x:c r="B197" s="300"/>
      <x:c r="C197" s="300"/>
      <x:c r="D197" s="300"/>
      <x:c r="E197" s="300"/>
      <x:c r="F197" s="300"/>
      <x:c r="G197" s="300"/>
      <x:c r="H197" s="300"/>
      <x:c r="I197" s="300"/>
      <x:c r="J197" s="300"/>
      <x:c r="K197" s="300"/>
      <x:c r="L197" s="300"/>
      <x:c r="M197" s="300"/>
      <x:c r="N197" s="300"/>
    </x:row>
    <x:row r="198" ht="22" customHeight="1">
      <x:c r="A198" s="300"/>
      <x:c r="B198" s="300"/>
      <x:c r="C198" s="300"/>
      <x:c r="D198" s="300"/>
      <x:c r="E198" s="300"/>
      <x:c r="F198" s="300"/>
      <x:c r="G198" s="300"/>
      <x:c r="H198" s="300"/>
      <x:c r="I198" s="300"/>
      <x:c r="J198" s="300"/>
      <x:c r="K198" s="300"/>
      <x:c r="L198" s="300"/>
      <x:c r="M198" s="300"/>
      <x:c r="N198" s="300"/>
    </x:row>
    <x:row r="199" ht="22" customHeight="1">
      <x:c r="A199" s="300"/>
      <x:c r="B199" s="300"/>
      <x:c r="C199" s="300"/>
      <x:c r="D199" s="300"/>
      <x:c r="E199" s="300"/>
      <x:c r="F199" s="300"/>
      <x:c r="G199" s="300"/>
      <x:c r="H199" s="300"/>
      <x:c r="I199" s="300"/>
      <x:c r="J199" s="300"/>
      <x:c r="K199" s="300"/>
      <x:c r="L199" s="300"/>
      <x:c r="M199" s="300"/>
      <x:c r="N199" s="300"/>
    </x:row>
    <x:row r="200" ht="22" customHeight="1">
      <x:c r="A200" s="300"/>
      <x:c r="B200" s="300"/>
      <x:c r="C200" s="300"/>
      <x:c r="D200" s="300"/>
      <x:c r="E200" s="300"/>
      <x:c r="F200" s="300"/>
      <x:c r="G200" s="300"/>
      <x:c r="H200" s="300"/>
      <x:c r="I200" s="300"/>
      <x:c r="J200" s="300"/>
      <x:c r="K200" s="300"/>
      <x:c r="L200" s="300"/>
      <x:c r="M200" s="300"/>
      <x:c r="N200" s="300"/>
    </x:row>
    <x:row r="201" ht="22" customHeight="1">
      <x:c r="A201" s="300"/>
      <x:c r="B201" s="300"/>
      <x:c r="C201" s="300"/>
      <x:c r="D201" s="300"/>
      <x:c r="E201" s="300"/>
      <x:c r="F201" s="300"/>
      <x:c r="G201" s="300"/>
      <x:c r="H201" s="300"/>
      <x:c r="I201" s="300"/>
      <x:c r="J201" s="300"/>
      <x:c r="K201" s="300"/>
      <x:c r="L201" s="300"/>
      <x:c r="M201" s="300"/>
      <x:c r="N201" s="300"/>
    </x:row>
    <x:row r="202" ht="22" customHeight="1">
      <x:c r="A202" s="300"/>
      <x:c r="B202" s="300"/>
      <x:c r="C202" s="300"/>
      <x:c r="D202" s="300"/>
      <x:c r="E202" s="300"/>
      <x:c r="F202" s="300"/>
      <x:c r="G202" s="300"/>
      <x:c r="H202" s="300"/>
      <x:c r="I202" s="300"/>
      <x:c r="J202" s="300"/>
      <x:c r="K202" s="300"/>
      <x:c r="L202" s="300"/>
      <x:c r="M202" s="300"/>
      <x:c r="N202" s="300"/>
    </x:row>
    <x:row r="203" ht="22" customHeight="1">
      <x:c r="A203" s="300"/>
      <x:c r="B203" s="300"/>
      <x:c r="C203" s="300"/>
      <x:c r="D203" s="300"/>
      <x:c r="E203" s="300"/>
      <x:c r="F203" s="300"/>
      <x:c r="G203" s="300"/>
      <x:c r="H203" s="300"/>
      <x:c r="I203" s="300"/>
      <x:c r="J203" s="300"/>
      <x:c r="K203" s="300"/>
      <x:c r="L203" s="300"/>
      <x:c r="M203" s="300"/>
      <x:c r="N203" s="300"/>
    </x:row>
    <x:row r="204" ht="22" customHeight="1">
      <x:c r="A204" s="300"/>
      <x:c r="B204" s="300"/>
      <x:c r="C204" s="300"/>
      <x:c r="D204" s="300"/>
      <x:c r="E204" s="300"/>
      <x:c r="F204" s="300"/>
      <x:c r="G204" s="300"/>
      <x:c r="H204" s="300"/>
      <x:c r="I204" s="300"/>
      <x:c r="J204" s="300"/>
      <x:c r="K204" s="300"/>
      <x:c r="L204" s="300"/>
      <x:c r="M204" s="300"/>
      <x:c r="N204" s="300"/>
    </x:row>
    <x:row r="205" ht="22" customHeight="1">
      <x:c r="A205" s="300"/>
      <x:c r="B205" s="300"/>
      <x:c r="C205" s="300"/>
      <x:c r="D205" s="300"/>
      <x:c r="E205" s="300"/>
      <x:c r="F205" s="300"/>
      <x:c r="G205" s="300"/>
      <x:c r="H205" s="300"/>
      <x:c r="I205" s="300"/>
      <x:c r="J205" s="300"/>
      <x:c r="K205" s="300"/>
      <x:c r="L205" s="300"/>
      <x:c r="M205" s="300"/>
      <x:c r="N205" s="300"/>
    </x:row>
    <x:row r="206" ht="22" customHeight="1">
      <x:c r="A206" s="300"/>
      <x:c r="B206" s="300"/>
      <x:c r="C206" s="300"/>
      <x:c r="D206" s="300"/>
      <x:c r="E206" s="300"/>
      <x:c r="F206" s="300"/>
      <x:c r="G206" s="300"/>
      <x:c r="H206" s="300"/>
      <x:c r="I206" s="300"/>
      <x:c r="J206" s="300"/>
      <x:c r="K206" s="300"/>
      <x:c r="L206" s="300"/>
      <x:c r="M206" s="300"/>
      <x:c r="N206" s="300"/>
    </x:row>
    <x:row r="207" ht="22" customHeight="1">
      <x:c r="A207" s="300"/>
      <x:c r="B207" s="300"/>
      <x:c r="C207" s="300"/>
      <x:c r="D207" s="300"/>
      <x:c r="E207" s="300"/>
      <x:c r="F207" s="300"/>
      <x:c r="G207" s="300"/>
      <x:c r="H207" s="300"/>
      <x:c r="I207" s="300"/>
      <x:c r="J207" s="300"/>
      <x:c r="K207" s="300"/>
      <x:c r="L207" s="300"/>
      <x:c r="M207" s="300"/>
      <x:c r="N207" s="300"/>
    </x:row>
    <x:row r="208" ht="22" customHeight="1">
      <x:c r="A208" s="300"/>
      <x:c r="B208" s="300"/>
      <x:c r="C208" s="300"/>
      <x:c r="D208" s="300"/>
      <x:c r="E208" s="300"/>
      <x:c r="F208" s="300"/>
      <x:c r="G208" s="300"/>
      <x:c r="H208" s="300"/>
      <x:c r="I208" s="300"/>
      <x:c r="J208" s="300"/>
      <x:c r="K208" s="300"/>
      <x:c r="L208" s="300"/>
      <x:c r="M208" s="300"/>
      <x:c r="N208" s="300"/>
    </x:row>
    <x:row r="209" ht="22" customHeight="1">
      <x:c r="A209" s="300"/>
      <x:c r="B209" s="300"/>
      <x:c r="C209" s="300"/>
      <x:c r="D209" s="300"/>
      <x:c r="E209" s="300"/>
      <x:c r="F209" s="300"/>
      <x:c r="G209" s="300"/>
      <x:c r="H209" s="300"/>
      <x:c r="I209" s="300"/>
      <x:c r="J209" s="300"/>
      <x:c r="K209" s="300"/>
      <x:c r="L209" s="300"/>
      <x:c r="M209" s="300"/>
      <x:c r="N209" s="300"/>
    </x:row>
    <x:row r="210" ht="22" customHeight="1">
      <x:c r="A210" s="300"/>
      <x:c r="B210" s="300"/>
      <x:c r="C210" s="300"/>
      <x:c r="D210" s="300"/>
      <x:c r="E210" s="300"/>
      <x:c r="F210" s="300"/>
      <x:c r="G210" s="300"/>
      <x:c r="H210" s="300"/>
      <x:c r="I210" s="300"/>
      <x:c r="J210" s="300"/>
      <x:c r="K210" s="300"/>
      <x:c r="L210" s="300"/>
      <x:c r="M210" s="300"/>
      <x:c r="N210" s="300"/>
    </x:row>
    <x:row r="211" ht="22" customHeight="1">
      <x:c r="A211" s="300"/>
      <x:c r="B211" s="300"/>
      <x:c r="C211" s="300"/>
      <x:c r="D211" s="300"/>
      <x:c r="E211" s="300"/>
      <x:c r="F211" s="300"/>
      <x:c r="G211" s="300"/>
      <x:c r="H211" s="300"/>
      <x:c r="I211" s="300"/>
      <x:c r="J211" s="300"/>
      <x:c r="K211" s="300"/>
      <x:c r="L211" s="300"/>
      <x:c r="M211" s="300"/>
      <x:c r="N211" s="300"/>
    </x:row>
    <x:row r="212" ht="22" customHeight="1">
      <x:c r="A212" s="300"/>
      <x:c r="B212" s="300"/>
      <x:c r="C212" s="300"/>
      <x:c r="D212" s="300"/>
      <x:c r="E212" s="300"/>
      <x:c r="F212" s="300"/>
      <x:c r="G212" s="300"/>
      <x:c r="H212" s="300"/>
      <x:c r="I212" s="300"/>
      <x:c r="J212" s="300"/>
      <x:c r="K212" s="300"/>
      <x:c r="L212" s="300"/>
      <x:c r="M212" s="300"/>
      <x:c r="N212" s="300"/>
    </x:row>
    <x:row r="213" ht="22" customHeight="1">
      <x:c r="A213" s="300"/>
      <x:c r="B213" s="300"/>
      <x:c r="C213" s="300"/>
      <x:c r="D213" s="300"/>
      <x:c r="E213" s="300"/>
      <x:c r="F213" s="300"/>
      <x:c r="G213" s="300"/>
      <x:c r="H213" s="300"/>
      <x:c r="I213" s="300"/>
      <x:c r="J213" s="300"/>
      <x:c r="K213" s="300"/>
      <x:c r="L213" s="300"/>
      <x:c r="M213" s="300"/>
      <x:c r="N213" s="300"/>
    </x:row>
    <x:row r="214" ht="22" customHeight="1">
      <x:c r="A214" s="300"/>
      <x:c r="B214" s="300"/>
      <x:c r="C214" s="300"/>
      <x:c r="D214" s="300"/>
      <x:c r="E214" s="300"/>
      <x:c r="F214" s="300"/>
      <x:c r="G214" s="300"/>
      <x:c r="H214" s="300"/>
      <x:c r="I214" s="300"/>
      <x:c r="J214" s="300"/>
      <x:c r="K214" s="300"/>
      <x:c r="L214" s="300"/>
      <x:c r="M214" s="300"/>
      <x:c r="N214" s="300"/>
    </x:row>
    <x:row r="215" ht="22" customHeight="1">
      <x:c r="A215" s="300"/>
      <x:c r="B215" s="300"/>
      <x:c r="C215" s="300"/>
      <x:c r="D215" s="300"/>
      <x:c r="E215" s="300"/>
      <x:c r="F215" s="300"/>
      <x:c r="G215" s="300"/>
      <x:c r="H215" s="300"/>
      <x:c r="I215" s="300"/>
      <x:c r="J215" s="300"/>
      <x:c r="K215" s="300"/>
      <x:c r="L215" s="300"/>
      <x:c r="M215" s="300"/>
      <x:c r="N215" s="300"/>
    </x:row>
    <x:row r="216" ht="22" customHeight="1">
      <x:c r="A216" s="300"/>
      <x:c r="B216" s="300"/>
      <x:c r="C216" s="300"/>
      <x:c r="D216" s="300"/>
      <x:c r="E216" s="300"/>
      <x:c r="F216" s="300"/>
      <x:c r="G216" s="300"/>
      <x:c r="H216" s="300"/>
      <x:c r="I216" s="300"/>
      <x:c r="J216" s="300"/>
      <x:c r="K216" s="300"/>
      <x:c r="L216" s="300"/>
      <x:c r="M216" s="300"/>
      <x:c r="N216" s="300"/>
    </x:row>
    <x:row r="217" ht="22" customHeight="1">
      <x:c r="A217" s="300"/>
      <x:c r="B217" s="300"/>
      <x:c r="C217" s="300"/>
      <x:c r="D217" s="300"/>
      <x:c r="E217" s="300"/>
      <x:c r="F217" s="300"/>
      <x:c r="G217" s="300"/>
      <x:c r="H217" s="300"/>
      <x:c r="I217" s="300"/>
      <x:c r="J217" s="300"/>
      <x:c r="K217" s="300"/>
      <x:c r="L217" s="300"/>
      <x:c r="M217" s="300"/>
      <x:c r="N217" s="300"/>
    </x:row>
    <x:row r="218" ht="22" customHeight="1">
      <x:c r="A218" s="300"/>
      <x:c r="B218" s="300"/>
      <x:c r="C218" s="300"/>
      <x:c r="D218" s="300"/>
      <x:c r="E218" s="300"/>
      <x:c r="F218" s="300"/>
      <x:c r="G218" s="300"/>
      <x:c r="H218" s="300"/>
      <x:c r="I218" s="300"/>
      <x:c r="J218" s="300"/>
      <x:c r="K218" s="300"/>
      <x:c r="L218" s="300"/>
      <x:c r="M218" s="300"/>
      <x:c r="N218" s="300"/>
    </x:row>
    <x:row r="219" ht="22" customHeight="1">
      <x:c r="A219" s="300"/>
      <x:c r="B219" s="300"/>
      <x:c r="C219" s="300"/>
      <x:c r="D219" s="300"/>
      <x:c r="E219" s="300"/>
      <x:c r="F219" s="300"/>
      <x:c r="G219" s="300"/>
      <x:c r="H219" s="300"/>
      <x:c r="I219" s="300"/>
      <x:c r="J219" s="300"/>
      <x:c r="K219" s="300"/>
      <x:c r="L219" s="300"/>
      <x:c r="M219" s="300"/>
      <x:c r="N219" s="300"/>
    </x:row>
    <x:row r="220" ht="22" customHeight="1">
      <x:c r="A220" s="300"/>
      <x:c r="B220" s="300"/>
      <x:c r="C220" s="300"/>
      <x:c r="D220" s="300"/>
      <x:c r="E220" s="300"/>
      <x:c r="F220" s="300"/>
      <x:c r="G220" s="300"/>
      <x:c r="H220" s="300"/>
      <x:c r="I220" s="300"/>
      <x:c r="J220" s="300"/>
      <x:c r="K220" s="300"/>
      <x:c r="L220" s="300"/>
      <x:c r="M220" s="300"/>
      <x:c r="N220" s="300"/>
    </x:row>
    <x:row r="221" ht="22" customHeight="1">
      <x:c r="A221" s="300"/>
      <x:c r="B221" s="300"/>
      <x:c r="C221" s="300"/>
      <x:c r="D221" s="300"/>
      <x:c r="E221" s="300"/>
      <x:c r="F221" s="300"/>
      <x:c r="G221" s="300"/>
      <x:c r="H221" s="300"/>
      <x:c r="I221" s="300"/>
      <x:c r="J221" s="300"/>
      <x:c r="K221" s="300"/>
      <x:c r="L221" s="300"/>
      <x:c r="M221" s="300"/>
      <x:c r="N221" s="300"/>
    </x:row>
    <x:row r="222" ht="22" customHeight="1">
      <x:c r="A222" s="300"/>
      <x:c r="B222" s="300"/>
      <x:c r="C222" s="300"/>
      <x:c r="D222" s="300"/>
      <x:c r="E222" s="300"/>
      <x:c r="F222" s="300"/>
      <x:c r="G222" s="300"/>
      <x:c r="H222" s="300"/>
      <x:c r="I222" s="300"/>
      <x:c r="J222" s="300"/>
      <x:c r="K222" s="300"/>
      <x:c r="L222" s="300"/>
      <x:c r="M222" s="300"/>
      <x:c r="N222" s="300"/>
    </x:row>
    <x:row r="223" ht="22" customHeight="1">
      <x:c r="A223" s="300"/>
      <x:c r="B223" s="300"/>
      <x:c r="C223" s="300"/>
      <x:c r="D223" s="300"/>
      <x:c r="E223" s="300"/>
      <x:c r="F223" s="300"/>
      <x:c r="G223" s="300"/>
      <x:c r="H223" s="300"/>
      <x:c r="I223" s="300"/>
      <x:c r="J223" s="300"/>
      <x:c r="K223" s="300"/>
      <x:c r="L223" s="300"/>
      <x:c r="M223" s="300"/>
      <x:c r="N223" s="300"/>
    </x:row>
    <x:row r="224" ht="22" customHeight="1">
      <x:c r="A224" s="300"/>
      <x:c r="B224" s="300"/>
      <x:c r="C224" s="300"/>
      <x:c r="D224" s="300"/>
      <x:c r="E224" s="300"/>
      <x:c r="F224" s="300"/>
      <x:c r="G224" s="300"/>
      <x:c r="H224" s="300"/>
      <x:c r="I224" s="300"/>
      <x:c r="J224" s="300"/>
      <x:c r="K224" s="300"/>
      <x:c r="L224" s="300"/>
      <x:c r="M224" s="300"/>
      <x:c r="N224" s="300"/>
    </x:row>
    <x:row r="225" ht="22" customHeight="1">
      <x:c r="A225" s="300"/>
      <x:c r="B225" s="300"/>
      <x:c r="C225" s="300"/>
      <x:c r="D225" s="300"/>
      <x:c r="E225" s="300"/>
      <x:c r="F225" s="300"/>
      <x:c r="G225" s="300"/>
      <x:c r="H225" s="300"/>
      <x:c r="I225" s="300"/>
      <x:c r="J225" s="300"/>
      <x:c r="K225" s="300"/>
      <x:c r="L225" s="300"/>
      <x:c r="M225" s="300"/>
      <x:c r="N225" s="300"/>
    </x:row>
    <x:row r="226" ht="22" customHeight="1">
      <x:c r="A226" s="300"/>
      <x:c r="B226" s="300"/>
      <x:c r="C226" s="300"/>
      <x:c r="D226" s="300"/>
      <x:c r="E226" s="300"/>
      <x:c r="F226" s="300"/>
      <x:c r="G226" s="300"/>
      <x:c r="H226" s="300"/>
      <x:c r="I226" s="300"/>
      <x:c r="J226" s="300"/>
      <x:c r="K226" s="300"/>
      <x:c r="L226" s="300"/>
      <x:c r="M226" s="300"/>
      <x:c r="N226" s="300"/>
    </x:row>
    <x:row r="227" ht="22" customHeight="1">
      <x:c r="A227" s="300"/>
      <x:c r="B227" s="300"/>
      <x:c r="C227" s="300"/>
      <x:c r="D227" s="300"/>
      <x:c r="E227" s="300"/>
      <x:c r="F227" s="300"/>
      <x:c r="G227" s="300"/>
      <x:c r="H227" s="300"/>
      <x:c r="I227" s="300"/>
      <x:c r="J227" s="300"/>
      <x:c r="K227" s="300"/>
      <x:c r="L227" s="300"/>
      <x:c r="M227" s="300"/>
      <x:c r="N227" s="300"/>
    </x:row>
    <x:row r="228" ht="22" customHeight="1">
      <x:c r="A228" s="300"/>
      <x:c r="B228" s="300"/>
      <x:c r="C228" s="300"/>
      <x:c r="D228" s="300"/>
      <x:c r="E228" s="300"/>
      <x:c r="F228" s="300"/>
      <x:c r="G228" s="300"/>
      <x:c r="H228" s="300"/>
      <x:c r="I228" s="300"/>
      <x:c r="J228" s="300"/>
      <x:c r="K228" s="300"/>
      <x:c r="L228" s="300"/>
      <x:c r="M228" s="300"/>
      <x:c r="N228" s="300"/>
    </x:row>
    <x:row r="229" ht="22" customHeight="1">
      <x:c r="A229" s="300"/>
      <x:c r="B229" s="300"/>
      <x:c r="C229" s="300"/>
      <x:c r="D229" s="300"/>
      <x:c r="E229" s="300"/>
      <x:c r="F229" s="300"/>
      <x:c r="G229" s="300"/>
      <x:c r="H229" s="300"/>
      <x:c r="I229" s="300"/>
      <x:c r="J229" s="300"/>
      <x:c r="K229" s="300"/>
      <x:c r="L229" s="300"/>
      <x:c r="M229" s="300"/>
      <x:c r="N229" s="300"/>
    </x:row>
    <x:row r="230" ht="22" customHeight="1">
      <x:c r="A230" s="300"/>
      <x:c r="B230" s="300"/>
      <x:c r="C230" s="300"/>
      <x:c r="D230" s="300"/>
      <x:c r="E230" s="300"/>
      <x:c r="F230" s="300"/>
      <x:c r="G230" s="300"/>
      <x:c r="H230" s="300"/>
      <x:c r="I230" s="300"/>
      <x:c r="J230" s="300"/>
      <x:c r="K230" s="300"/>
      <x:c r="L230" s="300"/>
      <x:c r="M230" s="300"/>
      <x:c r="N230" s="300"/>
    </x:row>
    <x:row r="231" ht="22" customHeight="1">
      <x:c r="A231" s="300"/>
      <x:c r="B231" s="300"/>
      <x:c r="C231" s="300"/>
      <x:c r="D231" s="300"/>
      <x:c r="E231" s="300"/>
      <x:c r="F231" s="300"/>
      <x:c r="G231" s="300"/>
      <x:c r="H231" s="300"/>
      <x:c r="I231" s="300"/>
      <x:c r="J231" s="300"/>
      <x:c r="K231" s="300"/>
      <x:c r="L231" s="300"/>
      <x:c r="M231" s="300"/>
      <x:c r="N231" s="300"/>
    </x:row>
    <x:row r="232" ht="22" customHeight="1">
      <x:c r="A232" s="300"/>
      <x:c r="B232" s="300"/>
      <x:c r="C232" s="300"/>
      <x:c r="D232" s="300"/>
      <x:c r="E232" s="300"/>
      <x:c r="F232" s="300"/>
      <x:c r="G232" s="300"/>
      <x:c r="H232" s="300"/>
      <x:c r="I232" s="300"/>
      <x:c r="J232" s="300"/>
      <x:c r="K232" s="300"/>
      <x:c r="L232" s="300"/>
      <x:c r="M232" s="300"/>
      <x:c r="N232" s="300"/>
    </x:row>
    <x:row r="233" ht="22" customHeight="1">
      <x:c r="A233" s="300"/>
      <x:c r="B233" s="300"/>
      <x:c r="C233" s="300"/>
      <x:c r="D233" s="300"/>
      <x:c r="E233" s="300"/>
      <x:c r="F233" s="300"/>
      <x:c r="G233" s="300"/>
      <x:c r="H233" s="300"/>
      <x:c r="I233" s="300"/>
      <x:c r="J233" s="300"/>
      <x:c r="K233" s="300"/>
      <x:c r="L233" s="300"/>
      <x:c r="M233" s="300"/>
      <x:c r="N233" s="300"/>
    </x:row>
    <x:row r="234" ht="22" customHeight="1">
      <x:c r="A234" s="300"/>
      <x:c r="B234" s="300"/>
      <x:c r="C234" s="300"/>
      <x:c r="D234" s="300"/>
      <x:c r="E234" s="300"/>
      <x:c r="F234" s="300"/>
      <x:c r="G234" s="300"/>
      <x:c r="H234" s="300"/>
      <x:c r="I234" s="300"/>
      <x:c r="J234" s="300"/>
      <x:c r="K234" s="300"/>
      <x:c r="L234" s="300"/>
      <x:c r="M234" s="300"/>
      <x:c r="N234" s="300"/>
    </x:row>
    <x:row r="235" ht="22" customHeight="1">
      <x:c r="A235" s="300"/>
      <x:c r="B235" s="300"/>
      <x:c r="C235" s="300"/>
      <x:c r="D235" s="300"/>
      <x:c r="E235" s="300"/>
      <x:c r="F235" s="300"/>
      <x:c r="G235" s="300"/>
      <x:c r="H235" s="300"/>
      <x:c r="I235" s="300"/>
      <x:c r="J235" s="300"/>
      <x:c r="K235" s="300"/>
      <x:c r="L235" s="300"/>
      <x:c r="M235" s="300"/>
      <x:c r="N235" s="300"/>
    </x:row>
    <x:row r="236" ht="22" customHeight="1">
      <x:c r="A236" s="300"/>
      <x:c r="B236" s="300"/>
      <x:c r="C236" s="300"/>
      <x:c r="D236" s="300"/>
      <x:c r="E236" s="300"/>
      <x:c r="F236" s="300"/>
      <x:c r="G236" s="300"/>
      <x:c r="H236" s="300"/>
      <x:c r="I236" s="300"/>
      <x:c r="J236" s="300"/>
      <x:c r="K236" s="300"/>
      <x:c r="L236" s="300"/>
      <x:c r="M236" s="300"/>
      <x:c r="N236" s="300"/>
    </x:row>
    <x:row r="237" ht="22" customHeight="1">
      <x:c r="A237" s="300"/>
      <x:c r="B237" s="300"/>
      <x:c r="C237" s="300"/>
      <x:c r="D237" s="300"/>
      <x:c r="E237" s="300"/>
      <x:c r="F237" s="300"/>
      <x:c r="G237" s="300"/>
      <x:c r="H237" s="300"/>
      <x:c r="I237" s="300"/>
      <x:c r="J237" s="300"/>
      <x:c r="K237" s="300"/>
      <x:c r="L237" s="300"/>
      <x:c r="M237" s="300"/>
      <x:c r="N237" s="300"/>
    </x:row>
    <x:row r="238" ht="22" customHeight="1">
      <x:c r="A238" s="300"/>
      <x:c r="B238" s="300"/>
      <x:c r="C238" s="300"/>
      <x:c r="D238" s="300"/>
      <x:c r="E238" s="300"/>
      <x:c r="F238" s="300"/>
      <x:c r="G238" s="300"/>
      <x:c r="H238" s="300"/>
      <x:c r="I238" s="300"/>
      <x:c r="J238" s="300"/>
      <x:c r="K238" s="300"/>
      <x:c r="L238" s="300"/>
      <x:c r="M238" s="300"/>
      <x:c r="N238" s="300"/>
    </x:row>
    <x:row r="239" ht="22" customHeight="1">
      <x:c r="A239" s="300"/>
      <x:c r="B239" s="300"/>
      <x:c r="C239" s="300"/>
      <x:c r="D239" s="300"/>
      <x:c r="E239" s="300"/>
      <x:c r="F239" s="300"/>
      <x:c r="G239" s="300"/>
      <x:c r="H239" s="300"/>
      <x:c r="I239" s="300"/>
      <x:c r="J239" s="300"/>
      <x:c r="K239" s="300"/>
      <x:c r="L239" s="300"/>
      <x:c r="M239" s="300"/>
      <x:c r="N239" s="300"/>
    </x:row>
    <x:row r="240" ht="22" customHeight="1">
      <x:c r="A240" s="300"/>
      <x:c r="B240" s="300"/>
      <x:c r="C240" s="300"/>
      <x:c r="D240" s="300"/>
      <x:c r="E240" s="300"/>
      <x:c r="F240" s="300"/>
      <x:c r="G240" s="300"/>
      <x:c r="H240" s="300"/>
      <x:c r="I240" s="300"/>
      <x:c r="J240" s="300"/>
      <x:c r="K240" s="300"/>
      <x:c r="L240" s="300"/>
      <x:c r="M240" s="300"/>
      <x:c r="N240" s="300"/>
    </x:row>
    <x:row r="241" ht="22" customHeight="1">
      <x:c r="A241" s="300"/>
      <x:c r="B241" s="300"/>
      <x:c r="C241" s="300"/>
      <x:c r="D241" s="300"/>
      <x:c r="E241" s="300"/>
      <x:c r="F241" s="300"/>
      <x:c r="G241" s="300"/>
      <x:c r="H241" s="300"/>
      <x:c r="I241" s="300"/>
      <x:c r="J241" s="300"/>
      <x:c r="K241" s="300"/>
      <x:c r="L241" s="300"/>
      <x:c r="M241" s="300"/>
      <x:c r="N241" s="300"/>
    </x:row>
    <x:row r="242" ht="22" customHeight="1">
      <x:c r="A242" s="300"/>
      <x:c r="B242" s="300"/>
      <x:c r="C242" s="300"/>
      <x:c r="D242" s="300"/>
      <x:c r="E242" s="300"/>
      <x:c r="F242" s="300"/>
      <x:c r="G242" s="300"/>
      <x:c r="H242" s="300"/>
      <x:c r="I242" s="300"/>
      <x:c r="J242" s="300"/>
      <x:c r="K242" s="300"/>
      <x:c r="L242" s="300"/>
      <x:c r="M242" s="300"/>
      <x:c r="N242" s="300"/>
    </x:row>
    <x:row r="243" ht="22" customHeight="1">
      <x:c r="A243" s="300"/>
      <x:c r="B243" s="300"/>
      <x:c r="C243" s="300"/>
      <x:c r="D243" s="300"/>
      <x:c r="E243" s="300"/>
      <x:c r="F243" s="300"/>
      <x:c r="G243" s="300"/>
      <x:c r="H243" s="300"/>
      <x:c r="I243" s="300"/>
      <x:c r="J243" s="300"/>
      <x:c r="K243" s="300"/>
      <x:c r="L243" s="300"/>
      <x:c r="M243" s="300"/>
      <x:c r="N243" s="300"/>
    </x:row>
    <x:row r="244" ht="22" customHeight="1">
      <x:c r="A244" s="300"/>
      <x:c r="B244" s="300"/>
      <x:c r="C244" s="300"/>
      <x:c r="D244" s="300"/>
      <x:c r="E244" s="300"/>
      <x:c r="F244" s="300"/>
      <x:c r="G244" s="300"/>
      <x:c r="H244" s="300"/>
      <x:c r="I244" s="300"/>
      <x:c r="J244" s="300"/>
      <x:c r="K244" s="300"/>
      <x:c r="L244" s="300"/>
      <x:c r="M244" s="300"/>
      <x:c r="N244" s="300"/>
    </x:row>
    <x:row r="245" ht="22" customHeight="1">
      <x:c r="A245" s="300"/>
      <x:c r="B245" s="300"/>
      <x:c r="C245" s="300"/>
      <x:c r="D245" s="300"/>
      <x:c r="E245" s="300"/>
      <x:c r="F245" s="300"/>
      <x:c r="G245" s="300"/>
      <x:c r="H245" s="300"/>
      <x:c r="I245" s="300"/>
      <x:c r="J245" s="300"/>
      <x:c r="K245" s="300"/>
      <x:c r="L245" s="300"/>
      <x:c r="M245" s="300"/>
      <x:c r="N245" s="300"/>
    </x:row>
    <x:row r="246" ht="22" customHeight="1">
      <x:c r="A246" s="300"/>
      <x:c r="B246" s="300"/>
      <x:c r="C246" s="300"/>
      <x:c r="D246" s="300"/>
      <x:c r="E246" s="300"/>
      <x:c r="F246" s="300"/>
      <x:c r="G246" s="300"/>
      <x:c r="H246" s="300"/>
      <x:c r="I246" s="300"/>
      <x:c r="J246" s="300"/>
      <x:c r="K246" s="300"/>
      <x:c r="L246" s="300"/>
      <x:c r="M246" s="300"/>
      <x:c r="N246" s="300"/>
    </x:row>
    <x:row r="247" ht="22" customHeight="1">
      <x:c r="A247" s="300"/>
      <x:c r="B247" s="300"/>
      <x:c r="C247" s="300"/>
      <x:c r="D247" s="300"/>
      <x:c r="E247" s="300"/>
      <x:c r="F247" s="300"/>
      <x:c r="G247" s="300"/>
      <x:c r="H247" s="300"/>
      <x:c r="I247" s="300"/>
      <x:c r="J247" s="300"/>
      <x:c r="K247" s="300"/>
      <x:c r="L247" s="300"/>
      <x:c r="M247" s="300"/>
      <x:c r="N247" s="300"/>
    </x:row>
    <x:row r="248" ht="22" customHeight="1">
      <x:c r="A248" s="300"/>
      <x:c r="B248" s="300"/>
      <x:c r="C248" s="300"/>
      <x:c r="D248" s="300"/>
      <x:c r="E248" s="300"/>
      <x:c r="F248" s="300"/>
      <x:c r="G248" s="300"/>
      <x:c r="H248" s="300"/>
      <x:c r="I248" s="300"/>
      <x:c r="J248" s="300"/>
      <x:c r="K248" s="300"/>
      <x:c r="L248" s="300"/>
      <x:c r="M248" s="300"/>
      <x:c r="N248" s="300"/>
    </x:row>
    <x:row r="249" ht="22" customHeight="1">
      <x:c r="A249" s="300"/>
      <x:c r="B249" s="300"/>
      <x:c r="C249" s="300"/>
      <x:c r="D249" s="300"/>
      <x:c r="E249" s="300"/>
      <x:c r="F249" s="300"/>
      <x:c r="G249" s="300"/>
      <x:c r="H249" s="300"/>
      <x:c r="I249" s="300"/>
      <x:c r="J249" s="300"/>
      <x:c r="K249" s="300"/>
      <x:c r="L249" s="300"/>
      <x:c r="M249" s="300"/>
      <x:c r="N249" s="300"/>
    </x:row>
    <x:row r="250" ht="22" customHeight="1">
      <x:c r="A250" s="300"/>
      <x:c r="B250" s="300"/>
      <x:c r="C250" s="300"/>
      <x:c r="D250" s="300"/>
      <x:c r="E250" s="300"/>
      <x:c r="F250" s="300"/>
      <x:c r="G250" s="300"/>
      <x:c r="H250" s="300"/>
      <x:c r="I250" s="300"/>
      <x:c r="J250" s="300"/>
      <x:c r="K250" s="300"/>
      <x:c r="L250" s="300"/>
      <x:c r="M250" s="300"/>
      <x:c r="N250" s="300"/>
    </x:row>
    <x:row r="251" ht="22" customHeight="1">
      <x:c r="A251" s="300"/>
      <x:c r="B251" s="300"/>
      <x:c r="C251" s="300"/>
      <x:c r="D251" s="300"/>
      <x:c r="E251" s="300"/>
      <x:c r="F251" s="300"/>
      <x:c r="G251" s="300"/>
      <x:c r="H251" s="300"/>
      <x:c r="I251" s="300"/>
      <x:c r="J251" s="300"/>
      <x:c r="K251" s="300"/>
      <x:c r="L251" s="300"/>
      <x:c r="M251" s="300"/>
      <x:c r="N251" s="300"/>
    </x:row>
    <x:row r="252" ht="22" customHeight="1">
      <x:c r="A252" s="300"/>
      <x:c r="B252" s="300"/>
      <x:c r="C252" s="300"/>
      <x:c r="D252" s="300"/>
      <x:c r="E252" s="300"/>
      <x:c r="F252" s="300"/>
      <x:c r="G252" s="300"/>
      <x:c r="H252" s="300"/>
      <x:c r="I252" s="300"/>
      <x:c r="J252" s="300"/>
      <x:c r="K252" s="300"/>
      <x:c r="L252" s="300"/>
      <x:c r="M252" s="300"/>
      <x:c r="N252" s="300"/>
    </x:row>
    <x:row r="253" ht="22" customHeight="1">
      <x:c r="A253" s="300"/>
      <x:c r="B253" s="300"/>
      <x:c r="C253" s="300"/>
      <x:c r="D253" s="300"/>
      <x:c r="E253" s="300"/>
      <x:c r="F253" s="300"/>
      <x:c r="G253" s="300"/>
      <x:c r="H253" s="300"/>
      <x:c r="I253" s="300"/>
      <x:c r="J253" s="300"/>
      <x:c r="K253" s="300"/>
      <x:c r="L253" s="300"/>
      <x:c r="M253" s="300"/>
      <x:c r="N253" s="300"/>
    </x:row>
    <x:row r="254" ht="22" customHeight="1">
      <x:c r="A254" s="300"/>
      <x:c r="B254" s="300"/>
      <x:c r="C254" s="300"/>
      <x:c r="D254" s="300"/>
      <x:c r="E254" s="300"/>
      <x:c r="F254" s="300"/>
      <x:c r="G254" s="300"/>
      <x:c r="H254" s="300"/>
      <x:c r="I254" s="300"/>
      <x:c r="J254" s="300"/>
      <x:c r="K254" s="300"/>
      <x:c r="L254" s="300"/>
      <x:c r="M254" s="300"/>
      <x:c r="N254" s="300"/>
    </x:row>
    <x:row r="255" ht="22" customHeight="1">
      <x:c r="A255" s="300"/>
      <x:c r="B255" s="300"/>
      <x:c r="C255" s="300"/>
      <x:c r="D255" s="300"/>
      <x:c r="E255" s="300"/>
      <x:c r="F255" s="300"/>
      <x:c r="G255" s="300"/>
      <x:c r="H255" s="300"/>
      <x:c r="I255" s="300"/>
      <x:c r="J255" s="300"/>
      <x:c r="K255" s="300"/>
      <x:c r="L255" s="300"/>
      <x:c r="M255" s="300"/>
      <x:c r="N255" s="300"/>
    </x:row>
    <x:row r="256" ht="22" customHeight="1">
      <x:c r="A256" s="300"/>
      <x:c r="B256" s="300"/>
      <x:c r="C256" s="300"/>
      <x:c r="D256" s="300"/>
      <x:c r="E256" s="300"/>
      <x:c r="F256" s="300"/>
      <x:c r="G256" s="300"/>
      <x:c r="H256" s="300"/>
      <x:c r="I256" s="300"/>
      <x:c r="J256" s="300"/>
      <x:c r="K256" s="300"/>
      <x:c r="L256" s="300"/>
      <x:c r="M256" s="300"/>
      <x:c r="N256" s="300"/>
    </x:row>
    <x:row r="257" ht="22" customHeight="1">
      <x:c r="A257" s="300"/>
      <x:c r="B257" s="300"/>
      <x:c r="C257" s="300"/>
      <x:c r="D257" s="300"/>
      <x:c r="E257" s="300"/>
      <x:c r="F257" s="300"/>
      <x:c r="G257" s="300"/>
      <x:c r="H257" s="300"/>
      <x:c r="I257" s="300"/>
      <x:c r="J257" s="300"/>
      <x:c r="K257" s="300"/>
      <x:c r="L257" s="300"/>
      <x:c r="M257" s="300"/>
      <x:c r="N257" s="300"/>
    </x:row>
    <x:row r="258" ht="22" customHeight="1">
      <x:c r="A258" s="300"/>
      <x:c r="B258" s="300"/>
      <x:c r="C258" s="300"/>
      <x:c r="D258" s="300"/>
      <x:c r="E258" s="300"/>
      <x:c r="F258" s="300"/>
      <x:c r="G258" s="300"/>
      <x:c r="H258" s="300"/>
      <x:c r="I258" s="300"/>
      <x:c r="J258" s="300"/>
      <x:c r="K258" s="300"/>
      <x:c r="L258" s="300"/>
      <x:c r="M258" s="300"/>
      <x:c r="N258" s="300"/>
    </x:row>
    <x:row r="259" ht="22" customHeight="1">
      <x:c r="A259" s="300"/>
      <x:c r="B259" s="300"/>
      <x:c r="C259" s="300"/>
      <x:c r="D259" s="300"/>
      <x:c r="E259" s="300"/>
      <x:c r="F259" s="300"/>
      <x:c r="G259" s="300"/>
      <x:c r="H259" s="300"/>
      <x:c r="I259" s="300"/>
      <x:c r="J259" s="300"/>
      <x:c r="K259" s="300"/>
      <x:c r="L259" s="300"/>
      <x:c r="M259" s="300"/>
      <x:c r="N259" s="300"/>
    </x:row>
    <x:row r="260" ht="22" customHeight="1">
      <x:c r="A260" s="300"/>
      <x:c r="B260" s="300"/>
      <x:c r="C260" s="300"/>
      <x:c r="D260" s="300"/>
      <x:c r="E260" s="300"/>
      <x:c r="F260" s="300"/>
      <x:c r="G260" s="300"/>
      <x:c r="H260" s="300"/>
      <x:c r="I260" s="300"/>
      <x:c r="J260" s="300"/>
      <x:c r="K260" s="300"/>
      <x:c r="L260" s="300"/>
      <x:c r="M260" s="300"/>
      <x:c r="N260" s="300"/>
    </x:row>
    <x:row r="261" ht="22" customHeight="1">
      <x:c r="A261" s="300"/>
      <x:c r="B261" s="300"/>
      <x:c r="C261" s="300"/>
      <x:c r="D261" s="300"/>
      <x:c r="E261" s="300"/>
      <x:c r="F261" s="300"/>
      <x:c r="G261" s="300"/>
      <x:c r="H261" s="300"/>
      <x:c r="I261" s="300"/>
      <x:c r="J261" s="300"/>
      <x:c r="K261" s="300"/>
      <x:c r="L261" s="300"/>
      <x:c r="M261" s="300"/>
      <x:c r="N261" s="300"/>
    </x:row>
    <x:row r="262" ht="22" customHeight="1">
      <x:c r="A262" s="300"/>
      <x:c r="B262" s="300"/>
      <x:c r="C262" s="300"/>
      <x:c r="D262" s="300"/>
      <x:c r="E262" s="300"/>
      <x:c r="F262" s="300"/>
      <x:c r="G262" s="300"/>
      <x:c r="H262" s="300"/>
      <x:c r="I262" s="300"/>
      <x:c r="J262" s="300"/>
      <x:c r="K262" s="300"/>
      <x:c r="L262" s="300"/>
      <x:c r="M262" s="300"/>
      <x:c r="N262" s="300"/>
    </x:row>
    <x:row r="263" ht="22" customHeight="1">
      <x:c r="A263" s="300"/>
      <x:c r="B263" s="300"/>
      <x:c r="C263" s="300"/>
      <x:c r="D263" s="300"/>
      <x:c r="E263" s="300"/>
      <x:c r="F263" s="300"/>
      <x:c r="G263" s="300"/>
      <x:c r="H263" s="300"/>
      <x:c r="I263" s="300"/>
      <x:c r="J263" s="300"/>
      <x:c r="K263" s="300"/>
      <x:c r="L263" s="300"/>
      <x:c r="M263" s="300"/>
      <x:c r="N263" s="300"/>
    </x:row>
    <x:row r="264" ht="22" customHeight="1">
      <x:c r="A264" s="300"/>
      <x:c r="B264" s="300"/>
      <x:c r="C264" s="300"/>
      <x:c r="D264" s="300"/>
      <x:c r="E264" s="300"/>
      <x:c r="F264" s="300"/>
      <x:c r="G264" s="300"/>
      <x:c r="H264" s="300"/>
      <x:c r="I264" s="300"/>
      <x:c r="J264" s="300"/>
      <x:c r="K264" s="300"/>
      <x:c r="L264" s="300"/>
      <x:c r="M264" s="300"/>
      <x:c r="N264" s="300"/>
    </x:row>
    <x:row r="265" ht="22" customHeight="1">
      <x:c r="A265" s="300"/>
      <x:c r="B265" s="300"/>
      <x:c r="C265" s="300"/>
      <x:c r="D265" s="300"/>
      <x:c r="E265" s="300"/>
      <x:c r="F265" s="300"/>
      <x:c r="G265" s="300"/>
      <x:c r="H265" s="300"/>
      <x:c r="I265" s="300"/>
      <x:c r="J265" s="300"/>
      <x:c r="K265" s="300"/>
      <x:c r="L265" s="300"/>
      <x:c r="M265" s="300"/>
      <x:c r="N265" s="300"/>
    </x:row>
    <x:row r="266" ht="22" customHeight="1">
      <x:c r="A266" s="300"/>
      <x:c r="B266" s="300"/>
      <x:c r="C266" s="300"/>
      <x:c r="D266" s="300"/>
      <x:c r="E266" s="300"/>
      <x:c r="F266" s="300"/>
      <x:c r="G266" s="300"/>
      <x:c r="H266" s="300"/>
      <x:c r="I266" s="300"/>
      <x:c r="J266" s="300"/>
      <x:c r="K266" s="300"/>
      <x:c r="L266" s="300"/>
      <x:c r="M266" s="300"/>
      <x:c r="N266" s="300"/>
    </x:row>
    <x:row r="267" ht="22" customHeight="1">
      <x:c r="A267" s="300"/>
      <x:c r="B267" s="300"/>
      <x:c r="C267" s="300"/>
      <x:c r="D267" s="300"/>
      <x:c r="E267" s="300"/>
      <x:c r="F267" s="300"/>
      <x:c r="G267" s="300"/>
      <x:c r="H267" s="300"/>
      <x:c r="I267" s="300"/>
      <x:c r="J267" s="300"/>
      <x:c r="K267" s="300"/>
      <x:c r="L267" s="300"/>
      <x:c r="M267" s="300"/>
      <x:c r="N267" s="300"/>
    </x:row>
    <x:row r="268" ht="22" customHeight="1">
      <x:c r="A268" s="300"/>
      <x:c r="B268" s="300"/>
      <x:c r="C268" s="300"/>
      <x:c r="D268" s="300"/>
      <x:c r="E268" s="300"/>
      <x:c r="F268" s="300"/>
      <x:c r="G268" s="300"/>
      <x:c r="H268" s="300"/>
      <x:c r="I268" s="300"/>
      <x:c r="J268" s="300"/>
      <x:c r="K268" s="300"/>
      <x:c r="L268" s="300"/>
      <x:c r="M268" s="300"/>
      <x:c r="N268" s="300"/>
    </x:row>
    <x:row r="269" ht="22" customHeight="1">
      <x:c r="A269" s="300"/>
      <x:c r="B269" s="300"/>
      <x:c r="C269" s="300"/>
      <x:c r="D269" s="300"/>
      <x:c r="E269" s="300"/>
      <x:c r="F269" s="300"/>
      <x:c r="G269" s="300"/>
      <x:c r="H269" s="300"/>
      <x:c r="I269" s="300"/>
      <x:c r="J269" s="300"/>
      <x:c r="K269" s="300"/>
      <x:c r="L269" s="300"/>
      <x:c r="M269" s="300"/>
      <x:c r="N269" s="300"/>
    </x:row>
    <x:row r="270" ht="22" customHeight="1">
      <x:c r="A270" s="300"/>
      <x:c r="B270" s="300"/>
      <x:c r="C270" s="300"/>
      <x:c r="D270" s="300"/>
      <x:c r="E270" s="300"/>
      <x:c r="F270" s="300"/>
      <x:c r="G270" s="300"/>
      <x:c r="H270" s="300"/>
      <x:c r="I270" s="300"/>
      <x:c r="J270" s="300"/>
      <x:c r="K270" s="300"/>
      <x:c r="L270" s="300"/>
      <x:c r="M270" s="300"/>
      <x:c r="N270" s="300"/>
    </x:row>
    <x:row r="271" ht="22" customHeight="1">
      <x:c r="A271" s="300"/>
      <x:c r="B271" s="300"/>
      <x:c r="C271" s="300"/>
      <x:c r="D271" s="300"/>
      <x:c r="E271" s="300"/>
      <x:c r="F271" s="300"/>
      <x:c r="G271" s="300"/>
      <x:c r="H271" s="300"/>
      <x:c r="I271" s="300"/>
      <x:c r="J271" s="300"/>
      <x:c r="K271" s="300"/>
      <x:c r="L271" s="300"/>
      <x:c r="M271" s="300"/>
      <x:c r="N271" s="300"/>
    </x:row>
    <x:row r="272" ht="22" customHeight="1">
      <x:c r="A272" s="300"/>
      <x:c r="B272" s="300"/>
      <x:c r="C272" s="300"/>
      <x:c r="D272" s="300"/>
      <x:c r="E272" s="300"/>
      <x:c r="F272" s="300"/>
      <x:c r="G272" s="300"/>
      <x:c r="H272" s="300"/>
      <x:c r="I272" s="300"/>
      <x:c r="J272" s="300"/>
      <x:c r="K272" s="300"/>
      <x:c r="L272" s="300"/>
      <x:c r="M272" s="300"/>
      <x:c r="N272" s="300"/>
    </x:row>
    <x:row r="273" ht="22" customHeight="1">
      <x:c r="A273" s="300"/>
      <x:c r="B273" s="300"/>
      <x:c r="C273" s="300"/>
      <x:c r="D273" s="300"/>
      <x:c r="E273" s="300"/>
      <x:c r="F273" s="300"/>
      <x:c r="G273" s="300"/>
      <x:c r="H273" s="300"/>
      <x:c r="I273" s="300"/>
      <x:c r="J273" s="300"/>
      <x:c r="K273" s="300"/>
      <x:c r="L273" s="300"/>
      <x:c r="M273" s="300"/>
      <x:c r="N273" s="300"/>
    </x:row>
    <x:row r="274" ht="22" customHeight="1">
      <x:c r="A274" s="300"/>
      <x:c r="B274" s="300"/>
      <x:c r="C274" s="300"/>
      <x:c r="D274" s="300"/>
      <x:c r="E274" s="300"/>
      <x:c r="F274" s="300"/>
      <x:c r="G274" s="300"/>
      <x:c r="H274" s="300"/>
      <x:c r="I274" s="300"/>
      <x:c r="J274" s="300"/>
      <x:c r="K274" s="300"/>
      <x:c r="L274" s="300"/>
      <x:c r="M274" s="300"/>
      <x:c r="N274" s="300"/>
    </x:row>
    <x:row r="275" ht="22" customHeight="1">
      <x:c r="A275" s="300"/>
      <x:c r="B275" s="300"/>
      <x:c r="C275" s="300"/>
      <x:c r="D275" s="300"/>
      <x:c r="E275" s="300"/>
      <x:c r="F275" s="300"/>
      <x:c r="G275" s="300"/>
      <x:c r="H275" s="300"/>
      <x:c r="I275" s="300"/>
      <x:c r="J275" s="300"/>
      <x:c r="K275" s="300"/>
      <x:c r="L275" s="300"/>
      <x:c r="M275" s="300"/>
      <x:c r="N275" s="300"/>
    </x:row>
    <x:row r="276" ht="22" customHeight="1">
      <x:c r="A276" s="300"/>
      <x:c r="B276" s="300"/>
      <x:c r="C276" s="300"/>
      <x:c r="D276" s="300"/>
      <x:c r="E276" s="300"/>
      <x:c r="F276" s="300"/>
      <x:c r="G276" s="300"/>
      <x:c r="H276" s="300"/>
      <x:c r="I276" s="300"/>
      <x:c r="J276" s="300"/>
      <x:c r="K276" s="300"/>
      <x:c r="L276" s="300"/>
      <x:c r="M276" s="300"/>
      <x:c r="N276" s="300"/>
    </x:row>
    <x:row r="277" ht="22" customHeight="1">
      <x:c r="A277" s="300"/>
      <x:c r="B277" s="300"/>
      <x:c r="C277" s="300"/>
      <x:c r="D277" s="300"/>
      <x:c r="E277" s="300"/>
      <x:c r="F277" s="300"/>
      <x:c r="G277" s="300"/>
      <x:c r="H277" s="300"/>
      <x:c r="I277" s="300"/>
      <x:c r="J277" s="300"/>
      <x:c r="K277" s="300"/>
      <x:c r="L277" s="300"/>
      <x:c r="M277" s="300"/>
      <x:c r="N277" s="300"/>
    </x:row>
    <x:row r="278" ht="22" customHeight="1">
      <x:c r="A278" s="300"/>
      <x:c r="B278" s="300"/>
      <x:c r="C278" s="300"/>
      <x:c r="D278" s="300"/>
      <x:c r="E278" s="300"/>
      <x:c r="F278" s="300"/>
      <x:c r="G278" s="300"/>
      <x:c r="H278" s="300"/>
      <x:c r="I278" s="300"/>
      <x:c r="J278" s="300"/>
      <x:c r="K278" s="300"/>
      <x:c r="L278" s="300"/>
      <x:c r="M278" s="300"/>
      <x:c r="N278" s="300"/>
    </x:row>
    <x:row r="279" ht="22" customHeight="1">
      <x:c r="A279" s="300"/>
      <x:c r="B279" s="300"/>
      <x:c r="C279" s="300"/>
      <x:c r="D279" s="300"/>
      <x:c r="E279" s="300"/>
      <x:c r="F279" s="300"/>
      <x:c r="G279" s="300"/>
      <x:c r="H279" s="300"/>
      <x:c r="I279" s="300"/>
      <x:c r="J279" s="300"/>
      <x:c r="K279" s="300"/>
      <x:c r="L279" s="300"/>
      <x:c r="M279" s="300"/>
      <x:c r="N279" s="300"/>
    </x:row>
    <x:row r="280" ht="22" customHeight="1">
      <x:c r="A280" s="300"/>
      <x:c r="B280" s="300"/>
      <x:c r="C280" s="300"/>
      <x:c r="D280" s="300"/>
      <x:c r="E280" s="300"/>
      <x:c r="F280" s="300"/>
      <x:c r="G280" s="300"/>
      <x:c r="H280" s="300"/>
      <x:c r="I280" s="300"/>
      <x:c r="J280" s="300"/>
      <x:c r="K280" s="300"/>
      <x:c r="L280" s="300"/>
      <x:c r="M280" s="300"/>
      <x:c r="N280" s="300"/>
    </x:row>
    <x:row r="281" ht="22" customHeight="1">
      <x:c r="A281" s="300"/>
      <x:c r="B281" s="300"/>
      <x:c r="C281" s="300"/>
      <x:c r="D281" s="300"/>
      <x:c r="E281" s="300"/>
      <x:c r="F281" s="300"/>
      <x:c r="G281" s="300"/>
      <x:c r="H281" s="300"/>
      <x:c r="I281" s="300"/>
      <x:c r="J281" s="300"/>
      <x:c r="K281" s="300"/>
      <x:c r="L281" s="300"/>
      <x:c r="M281" s="300"/>
      <x:c r="N281" s="300"/>
    </x:row>
    <x:row r="282" ht="22" customHeight="1">
      <x:c r="A282" s="300"/>
      <x:c r="B282" s="300"/>
      <x:c r="C282" s="300"/>
      <x:c r="D282" s="300"/>
      <x:c r="E282" s="300"/>
      <x:c r="F282" s="300"/>
      <x:c r="G282" s="300"/>
      <x:c r="H282" s="300"/>
      <x:c r="I282" s="300"/>
      <x:c r="J282" s="300"/>
      <x:c r="K282" s="300"/>
      <x:c r="L282" s="300"/>
      <x:c r="M282" s="300"/>
      <x:c r="N282" s="300"/>
    </x:row>
    <x:row r="283" ht="22" customHeight="1">
      <x:c r="A283" s="300"/>
      <x:c r="B283" s="300"/>
      <x:c r="C283" s="300"/>
      <x:c r="D283" s="300"/>
      <x:c r="E283" s="300"/>
      <x:c r="F283" s="300"/>
      <x:c r="G283" s="300"/>
      <x:c r="H283" s="300"/>
      <x:c r="I283" s="300"/>
      <x:c r="J283" s="300"/>
      <x:c r="K283" s="300"/>
      <x:c r="L283" s="300"/>
      <x:c r="M283" s="300"/>
      <x:c r="N283" s="300"/>
    </x:row>
    <x:row r="284" ht="22" customHeight="1">
      <x:c r="A284" s="300"/>
      <x:c r="B284" s="300"/>
      <x:c r="C284" s="300"/>
      <x:c r="D284" s="300"/>
      <x:c r="E284" s="300"/>
      <x:c r="F284" s="300"/>
      <x:c r="G284" s="300"/>
      <x:c r="H284" s="300"/>
      <x:c r="I284" s="300"/>
      <x:c r="J284" s="300"/>
      <x:c r="K284" s="300"/>
      <x:c r="L284" s="300"/>
      <x:c r="M284" s="300"/>
      <x:c r="N284" s="300"/>
    </x:row>
    <x:row r="285" ht="22" customHeight="1">
      <x:c r="A285" s="300"/>
      <x:c r="B285" s="300"/>
      <x:c r="C285" s="300"/>
      <x:c r="D285" s="300"/>
      <x:c r="E285" s="300"/>
      <x:c r="F285" s="300"/>
      <x:c r="G285" s="300"/>
      <x:c r="H285" s="300"/>
      <x:c r="I285" s="300"/>
      <x:c r="J285" s="300"/>
      <x:c r="K285" s="300"/>
      <x:c r="L285" s="300"/>
      <x:c r="M285" s="300"/>
      <x:c r="N285" s="300"/>
    </x:row>
    <x:row r="286" ht="22" customHeight="1">
      <x:c r="A286" s="300"/>
      <x:c r="B286" s="300"/>
      <x:c r="C286" s="300"/>
      <x:c r="D286" s="300"/>
      <x:c r="E286" s="300"/>
      <x:c r="F286" s="300"/>
      <x:c r="G286" s="300"/>
      <x:c r="H286" s="300"/>
      <x:c r="I286" s="300"/>
      <x:c r="J286" s="300"/>
      <x:c r="K286" s="300"/>
      <x:c r="L286" s="300"/>
      <x:c r="M286" s="300"/>
      <x:c r="N286" s="300"/>
    </x:row>
    <x:row r="287" ht="22" customHeight="1">
      <x:c r="A287" s="300"/>
      <x:c r="B287" s="300"/>
      <x:c r="C287" s="300"/>
      <x:c r="D287" s="300"/>
      <x:c r="E287" s="300"/>
      <x:c r="F287" s="300"/>
      <x:c r="G287" s="300"/>
      <x:c r="H287" s="300"/>
      <x:c r="I287" s="300"/>
      <x:c r="J287" s="300"/>
      <x:c r="K287" s="300"/>
      <x:c r="L287" s="300"/>
      <x:c r="M287" s="300"/>
      <x:c r="N287" s="300"/>
    </x:row>
    <x:row r="288" ht="22" customHeight="1">
      <x:c r="A288" s="300"/>
      <x:c r="B288" s="300"/>
      <x:c r="C288" s="300"/>
      <x:c r="D288" s="300"/>
      <x:c r="E288" s="300"/>
      <x:c r="F288" s="300"/>
      <x:c r="G288" s="300"/>
      <x:c r="H288" s="300"/>
      <x:c r="I288" s="300"/>
      <x:c r="J288" s="300"/>
      <x:c r="K288" s="300"/>
      <x:c r="L288" s="300"/>
      <x:c r="M288" s="300"/>
      <x:c r="N288" s="300"/>
    </x:row>
    <x:row r="289" ht="22" customHeight="1">
      <x:c r="A289" s="300"/>
      <x:c r="B289" s="300"/>
      <x:c r="C289" s="300"/>
      <x:c r="D289" s="300"/>
      <x:c r="E289" s="300"/>
      <x:c r="F289" s="300"/>
      <x:c r="G289" s="300"/>
      <x:c r="H289" s="300"/>
      <x:c r="I289" s="300"/>
      <x:c r="J289" s="300"/>
      <x:c r="K289" s="300"/>
      <x:c r="L289" s="300"/>
      <x:c r="M289" s="300"/>
      <x:c r="N289" s="300"/>
    </x:row>
    <x:row r="290" ht="22" customHeight="1">
      <x:c r="A290" s="300"/>
      <x:c r="B290" s="300"/>
      <x:c r="C290" s="300"/>
      <x:c r="D290" s="300"/>
      <x:c r="E290" s="300"/>
      <x:c r="F290" s="300"/>
      <x:c r="G290" s="300"/>
      <x:c r="H290" s="300"/>
      <x:c r="I290" s="300"/>
      <x:c r="J290" s="300"/>
      <x:c r="K290" s="300"/>
      <x:c r="L290" s="300"/>
      <x:c r="M290" s="300"/>
      <x:c r="N290" s="300"/>
    </x:row>
    <x:row r="291" ht="22" customHeight="1">
      <x:c r="A291" s="300"/>
      <x:c r="B291" s="300"/>
      <x:c r="C291" s="300"/>
      <x:c r="D291" s="300"/>
      <x:c r="E291" s="300"/>
      <x:c r="F291" s="300"/>
      <x:c r="G291" s="300"/>
      <x:c r="H291" s="300"/>
      <x:c r="I291" s="300"/>
      <x:c r="J291" s="300"/>
      <x:c r="K291" s="300"/>
      <x:c r="L291" s="300"/>
      <x:c r="M291" s="300"/>
      <x:c r="N291" s="300"/>
    </x:row>
    <x:row r="292" ht="22" customHeight="1">
      <x:c r="A292" s="300"/>
      <x:c r="B292" s="300"/>
      <x:c r="C292" s="300"/>
      <x:c r="D292" s="300"/>
      <x:c r="E292" s="300"/>
      <x:c r="F292" s="300"/>
      <x:c r="G292" s="300"/>
      <x:c r="H292" s="300"/>
      <x:c r="I292" s="300"/>
      <x:c r="J292" s="300"/>
      <x:c r="K292" s="300"/>
      <x:c r="L292" s="300"/>
      <x:c r="M292" s="300"/>
      <x:c r="N292" s="300"/>
    </x:row>
    <x:row r="293" ht="22" customHeight="1">
      <x:c r="A293" s="300"/>
      <x:c r="B293" s="300"/>
      <x:c r="C293" s="300"/>
      <x:c r="D293" s="300"/>
      <x:c r="E293" s="300"/>
      <x:c r="F293" s="300"/>
      <x:c r="G293" s="300"/>
      <x:c r="H293" s="300"/>
      <x:c r="I293" s="300"/>
      <x:c r="J293" s="300"/>
      <x:c r="K293" s="300"/>
      <x:c r="L293" s="300"/>
      <x:c r="M293" s="300"/>
      <x:c r="N293" s="300"/>
    </x:row>
    <x:row r="294" ht="22" customHeight="1">
      <x:c r="A294" s="300"/>
      <x:c r="B294" s="300"/>
      <x:c r="C294" s="300"/>
      <x:c r="D294" s="300"/>
      <x:c r="E294" s="300"/>
      <x:c r="F294" s="300"/>
      <x:c r="G294" s="300"/>
      <x:c r="H294" s="300"/>
      <x:c r="I294" s="300"/>
      <x:c r="J294" s="300"/>
      <x:c r="K294" s="300"/>
      <x:c r="L294" s="300"/>
      <x:c r="M294" s="300"/>
      <x:c r="N294" s="300"/>
    </x:row>
    <x:row r="295" ht="22" customHeight="1">
      <x:c r="A295" s="300"/>
      <x:c r="B295" s="300"/>
      <x:c r="C295" s="300"/>
      <x:c r="D295" s="300"/>
      <x:c r="E295" s="300"/>
      <x:c r="F295" s="300"/>
      <x:c r="G295" s="300"/>
      <x:c r="H295" s="300"/>
      <x:c r="I295" s="300"/>
      <x:c r="J295" s="300"/>
      <x:c r="K295" s="300"/>
      <x:c r="L295" s="300"/>
      <x:c r="M295" s="300"/>
      <x:c r="N295" s="300"/>
    </x:row>
    <x:row r="296" ht="22" customHeight="1">
      <x:c r="A296" s="300"/>
      <x:c r="B296" s="300"/>
      <x:c r="C296" s="300"/>
      <x:c r="D296" s="300"/>
      <x:c r="E296" s="300"/>
      <x:c r="F296" s="300"/>
      <x:c r="G296" s="300"/>
      <x:c r="H296" s="300"/>
      <x:c r="I296" s="300"/>
      <x:c r="J296" s="300"/>
      <x:c r="K296" s="300"/>
      <x:c r="L296" s="300"/>
      <x:c r="M296" s="300"/>
      <x:c r="N296" s="300"/>
    </x:row>
    <x:row r="297" ht="22" customHeight="1">
      <x:c r="A297" s="300"/>
      <x:c r="B297" s="300"/>
      <x:c r="C297" s="300"/>
      <x:c r="D297" s="300"/>
      <x:c r="E297" s="300"/>
      <x:c r="F297" s="300"/>
      <x:c r="G297" s="300"/>
      <x:c r="H297" s="300"/>
      <x:c r="I297" s="300"/>
      <x:c r="J297" s="300"/>
      <x:c r="K297" s="300"/>
      <x:c r="L297" s="300"/>
      <x:c r="M297" s="300"/>
      <x:c r="N297" s="300"/>
    </x:row>
    <x:row r="298" ht="22" customHeight="1">
      <x:c r="A298" s="300"/>
      <x:c r="B298" s="300"/>
      <x:c r="C298" s="300"/>
      <x:c r="D298" s="300"/>
      <x:c r="E298" s="300"/>
      <x:c r="F298" s="300"/>
      <x:c r="G298" s="300"/>
      <x:c r="H298" s="300"/>
      <x:c r="I298" s="300"/>
      <x:c r="J298" s="300"/>
      <x:c r="K298" s="300"/>
      <x:c r="L298" s="300"/>
      <x:c r="M298" s="300"/>
      <x:c r="N298" s="300"/>
    </x:row>
    <x:row r="299" ht="22" customHeight="1">
      <x:c r="A299" s="300"/>
      <x:c r="B299" s="300"/>
      <x:c r="C299" s="300"/>
      <x:c r="D299" s="300"/>
      <x:c r="E299" s="300"/>
      <x:c r="F299" s="300"/>
      <x:c r="G299" s="300"/>
      <x:c r="H299" s="300"/>
      <x:c r="I299" s="300"/>
      <x:c r="J299" s="300"/>
      <x:c r="K299" s="300"/>
      <x:c r="L299" s="300"/>
      <x:c r="M299" s="300"/>
      <x:c r="N299" s="300"/>
    </x:row>
    <x:row r="300" ht="22" customHeight="1">
      <x:c r="A300" s="300"/>
      <x:c r="B300" s="300"/>
      <x:c r="C300" s="300"/>
      <x:c r="D300" s="300"/>
      <x:c r="E300" s="300"/>
      <x:c r="F300" s="300"/>
      <x:c r="G300" s="300"/>
      <x:c r="H300" s="300"/>
      <x:c r="I300" s="300"/>
      <x:c r="J300" s="300"/>
      <x:c r="K300" s="300"/>
      <x:c r="L300" s="300"/>
      <x:c r="M300" s="300"/>
      <x:c r="N300" s="300"/>
    </x:row>
    <x:row r="301" ht="22" customHeight="1">
      <x:c r="A301" s="300"/>
      <x:c r="B301" s="300"/>
      <x:c r="C301" s="300"/>
      <x:c r="D301" s="300"/>
      <x:c r="E301" s="300"/>
      <x:c r="F301" s="300"/>
      <x:c r="G301" s="300"/>
      <x:c r="H301" s="300"/>
      <x:c r="I301" s="300"/>
      <x:c r="J301" s="300"/>
      <x:c r="K301" s="300"/>
      <x:c r="L301" s="300"/>
      <x:c r="M301" s="300"/>
      <x:c r="N301" s="300"/>
    </x:row>
    <x:row r="302" ht="22" customHeight="1">
      <x:c r="A302" s="300"/>
      <x:c r="B302" s="300"/>
      <x:c r="C302" s="300"/>
      <x:c r="D302" s="300"/>
      <x:c r="E302" s="300"/>
      <x:c r="F302" s="300"/>
      <x:c r="G302" s="300"/>
      <x:c r="H302" s="300"/>
      <x:c r="I302" s="300"/>
      <x:c r="J302" s="300"/>
      <x:c r="K302" s="300"/>
      <x:c r="L302" s="300"/>
      <x:c r="M302" s="300"/>
      <x:c r="N302" s="300"/>
    </x:row>
    <x:row r="303" ht="22" customHeight="1">
      <x:c r="A303" s="300"/>
      <x:c r="B303" s="300"/>
      <x:c r="C303" s="300"/>
      <x:c r="D303" s="300"/>
      <x:c r="E303" s="300"/>
      <x:c r="F303" s="300"/>
      <x:c r="G303" s="300"/>
      <x:c r="H303" s="300"/>
      <x:c r="I303" s="300"/>
      <x:c r="J303" s="300"/>
      <x:c r="K303" s="300"/>
      <x:c r="L303" s="300"/>
      <x:c r="M303" s="300"/>
      <x:c r="N303" s="300"/>
    </x:row>
    <x:row r="304" ht="22" customHeight="1">
      <x:c r="A304" s="300"/>
      <x:c r="B304" s="300"/>
      <x:c r="C304" s="300"/>
      <x:c r="D304" s="300"/>
      <x:c r="E304" s="300"/>
      <x:c r="F304" s="300"/>
      <x:c r="G304" s="300"/>
      <x:c r="H304" s="300"/>
      <x:c r="I304" s="300"/>
      <x:c r="J304" s="300"/>
      <x:c r="K304" s="300"/>
      <x:c r="L304" s="300"/>
      <x:c r="M304" s="300"/>
      <x:c r="N304" s="300"/>
    </x:row>
    <x:row r="305" ht="22" customHeight="1">
      <x:c r="A305" s="300"/>
      <x:c r="B305" s="300"/>
      <x:c r="C305" s="300"/>
      <x:c r="D305" s="300"/>
      <x:c r="E305" s="300"/>
      <x:c r="F305" s="300"/>
      <x:c r="G305" s="300"/>
      <x:c r="H305" s="300"/>
      <x:c r="I305" s="300"/>
      <x:c r="J305" s="300"/>
      <x:c r="K305" s="300"/>
      <x:c r="L305" s="300"/>
      <x:c r="M305" s="300"/>
      <x:c r="N305" s="300"/>
    </x:row>
    <x:row r="306" ht="22" customHeight="1">
      <x:c r="A306" s="300"/>
      <x:c r="B306" s="300"/>
      <x:c r="C306" s="300"/>
      <x:c r="D306" s="300"/>
      <x:c r="E306" s="300"/>
      <x:c r="F306" s="300"/>
      <x:c r="G306" s="300"/>
      <x:c r="H306" s="300"/>
      <x:c r="I306" s="300"/>
      <x:c r="J306" s="300"/>
      <x:c r="K306" s="300"/>
      <x:c r="L306" s="300"/>
      <x:c r="M306" s="300"/>
      <x:c r="N306" s="300"/>
    </x:row>
    <x:row r="307" ht="22" customHeight="1">
      <x:c r="A307" s="300"/>
      <x:c r="B307" s="300"/>
      <x:c r="C307" s="300"/>
      <x:c r="D307" s="300"/>
      <x:c r="E307" s="300"/>
      <x:c r="F307" s="300"/>
      <x:c r="G307" s="300"/>
      <x:c r="H307" s="300"/>
      <x:c r="I307" s="300"/>
      <x:c r="J307" s="300"/>
      <x:c r="K307" s="300"/>
      <x:c r="L307" s="300"/>
      <x:c r="M307" s="300"/>
      <x:c r="N307" s="300"/>
    </x:row>
    <x:row r="308" ht="22" customHeight="1">
      <x:c r="A308" s="300"/>
      <x:c r="B308" s="300"/>
      <x:c r="C308" s="300"/>
      <x:c r="D308" s="300"/>
      <x:c r="E308" s="300"/>
      <x:c r="F308" s="300"/>
      <x:c r="G308" s="300"/>
      <x:c r="H308" s="300"/>
      <x:c r="I308" s="300"/>
      <x:c r="J308" s="300"/>
      <x:c r="K308" s="300"/>
      <x:c r="L308" s="300"/>
      <x:c r="M308" s="300"/>
      <x:c r="N308" s="300"/>
    </x:row>
    <x:row r="309" ht="22" customHeight="1">
      <x:c r="A309" s="300"/>
      <x:c r="B309" s="300"/>
      <x:c r="C309" s="300"/>
      <x:c r="D309" s="300"/>
      <x:c r="E309" s="300"/>
      <x:c r="F309" s="300"/>
      <x:c r="G309" s="300"/>
      <x:c r="H309" s="300"/>
      <x:c r="I309" s="300"/>
      <x:c r="J309" s="300"/>
      <x:c r="K309" s="300"/>
      <x:c r="L309" s="300"/>
      <x:c r="M309" s="300"/>
      <x:c r="N309" s="300"/>
    </x:row>
    <x:row r="310" ht="22" customHeight="1">
      <x:c r="A310" s="300"/>
      <x:c r="B310" s="300"/>
      <x:c r="C310" s="300"/>
      <x:c r="D310" s="300"/>
      <x:c r="E310" s="300"/>
      <x:c r="F310" s="300"/>
      <x:c r="G310" s="300"/>
      <x:c r="H310" s="300"/>
      <x:c r="I310" s="300"/>
      <x:c r="J310" s="300"/>
      <x:c r="K310" s="300"/>
      <x:c r="L310" s="300"/>
      <x:c r="M310" s="300"/>
      <x:c r="N310" s="300"/>
    </x:row>
    <x:row r="311" ht="22" customHeight="1">
      <x:c r="A311" s="300"/>
      <x:c r="B311" s="300"/>
      <x:c r="C311" s="300"/>
      <x:c r="D311" s="300"/>
      <x:c r="E311" s="300"/>
      <x:c r="F311" s="300"/>
      <x:c r="G311" s="300"/>
      <x:c r="H311" s="300"/>
      <x:c r="I311" s="300"/>
      <x:c r="J311" s="300"/>
      <x:c r="K311" s="300"/>
      <x:c r="L311" s="300"/>
      <x:c r="M311" s="300"/>
      <x:c r="N311" s="300"/>
    </x:row>
    <x:row r="312" ht="22" customHeight="1">
      <x:c r="A312" s="300"/>
      <x:c r="B312" s="300"/>
      <x:c r="C312" s="300"/>
      <x:c r="D312" s="300"/>
      <x:c r="E312" s="300"/>
      <x:c r="F312" s="300"/>
      <x:c r="G312" s="300"/>
      <x:c r="H312" s="300"/>
      <x:c r="I312" s="300"/>
      <x:c r="J312" s="300"/>
      <x:c r="K312" s="300"/>
      <x:c r="L312" s="300"/>
      <x:c r="M312" s="300"/>
      <x:c r="N312" s="300"/>
    </x:row>
    <x:row r="313" ht="22" customHeight="1">
      <x:c r="A313" s="300"/>
      <x:c r="B313" s="300"/>
      <x:c r="C313" s="300"/>
      <x:c r="D313" s="300"/>
      <x:c r="E313" s="300"/>
      <x:c r="F313" s="300"/>
      <x:c r="G313" s="300"/>
      <x:c r="H313" s="300"/>
      <x:c r="I313" s="300"/>
      <x:c r="J313" s="300"/>
      <x:c r="K313" s="300"/>
      <x:c r="L313" s="300"/>
      <x:c r="M313" s="300"/>
      <x:c r="N313" s="300"/>
    </x:row>
    <x:row r="314" ht="22" customHeight="1">
      <x:c r="A314" s="300"/>
      <x:c r="B314" s="300"/>
      <x:c r="C314" s="300"/>
      <x:c r="D314" s="300"/>
      <x:c r="E314" s="300"/>
      <x:c r="F314" s="300"/>
      <x:c r="G314" s="300"/>
      <x:c r="H314" s="300"/>
      <x:c r="I314" s="300"/>
      <x:c r="J314" s="300"/>
      <x:c r="K314" s="300"/>
      <x:c r="L314" s="300"/>
      <x:c r="M314" s="300"/>
      <x:c r="N314" s="300"/>
    </x:row>
    <x:row r="315" ht="22" customHeight="1">
      <x:c r="A315" s="300"/>
      <x:c r="B315" s="300"/>
      <x:c r="C315" s="300"/>
      <x:c r="D315" s="300"/>
      <x:c r="E315" s="300"/>
      <x:c r="F315" s="300"/>
      <x:c r="G315" s="300"/>
      <x:c r="H315" s="300"/>
      <x:c r="I315" s="300"/>
      <x:c r="J315" s="300"/>
      <x:c r="K315" s="300"/>
      <x:c r="L315" s="300"/>
      <x:c r="M315" s="300"/>
      <x:c r="N315" s="300"/>
    </x:row>
    <x:row r="316" ht="22" customHeight="1">
      <x:c r="A316" s="300"/>
      <x:c r="B316" s="300"/>
      <x:c r="C316" s="300"/>
      <x:c r="D316" s="300"/>
      <x:c r="E316" s="300"/>
      <x:c r="F316" s="300"/>
      <x:c r="G316" s="300"/>
      <x:c r="H316" s="300"/>
      <x:c r="I316" s="300"/>
      <x:c r="J316" s="300"/>
      <x:c r="K316" s="300"/>
      <x:c r="L316" s="300"/>
      <x:c r="M316" s="300"/>
      <x:c r="N316" s="300"/>
    </x:row>
    <x:row r="317" ht="22" customHeight="1">
      <x:c r="A317" s="300"/>
      <x:c r="B317" s="300"/>
      <x:c r="C317" s="300"/>
      <x:c r="D317" s="300"/>
      <x:c r="E317" s="300"/>
      <x:c r="F317" s="300"/>
      <x:c r="G317" s="300"/>
      <x:c r="H317" s="300"/>
      <x:c r="I317" s="300"/>
      <x:c r="J317" s="300"/>
      <x:c r="K317" s="300"/>
      <x:c r="L317" s="300"/>
      <x:c r="M317" s="300"/>
      <x:c r="N317" s="300"/>
    </x:row>
    <x:row r="318" ht="22" customHeight="1">
      <x:c r="A318" s="300"/>
      <x:c r="B318" s="300"/>
      <x:c r="C318" s="300"/>
      <x:c r="D318" s="300"/>
      <x:c r="E318" s="300"/>
      <x:c r="F318" s="300"/>
      <x:c r="G318" s="300"/>
      <x:c r="H318" s="300"/>
      <x:c r="I318" s="300"/>
      <x:c r="J318" s="300"/>
      <x:c r="K318" s="300"/>
      <x:c r="L318" s="300"/>
      <x:c r="M318" s="300"/>
      <x:c r="N318" s="300"/>
    </x:row>
    <x:row r="319" ht="22" customHeight="1">
      <x:c r="A319" s="300"/>
      <x:c r="B319" s="300"/>
      <x:c r="C319" s="300"/>
      <x:c r="D319" s="300"/>
      <x:c r="E319" s="300"/>
      <x:c r="F319" s="300"/>
      <x:c r="G319" s="300"/>
      <x:c r="H319" s="300"/>
      <x:c r="I319" s="300"/>
      <x:c r="J319" s="300"/>
      <x:c r="K319" s="300"/>
      <x:c r="L319" s="300"/>
      <x:c r="M319" s="300"/>
      <x:c r="N319" s="300"/>
    </x:row>
    <x:row r="320" ht="22" customHeight="1">
      <x:c r="A320" s="300"/>
      <x:c r="B320" s="300"/>
      <x:c r="C320" s="300"/>
      <x:c r="D320" s="300"/>
      <x:c r="E320" s="300"/>
      <x:c r="F320" s="300"/>
      <x:c r="G320" s="300"/>
      <x:c r="H320" s="300"/>
      <x:c r="I320" s="300"/>
      <x:c r="J320" s="300"/>
      <x:c r="K320" s="300"/>
      <x:c r="L320" s="300"/>
      <x:c r="M320" s="300"/>
      <x:c r="N320" s="300"/>
    </x:row>
    <x:row r="321" ht="22" customHeight="1">
      <x:c r="A321" s="300"/>
      <x:c r="B321" s="300"/>
      <x:c r="C321" s="300"/>
      <x:c r="D321" s="300"/>
      <x:c r="E321" s="300"/>
      <x:c r="F321" s="300"/>
      <x:c r="G321" s="300"/>
      <x:c r="H321" s="300"/>
      <x:c r="I321" s="300"/>
      <x:c r="J321" s="300"/>
      <x:c r="K321" s="300"/>
      <x:c r="L321" s="300"/>
      <x:c r="M321" s="300"/>
      <x:c r="N321" s="300"/>
    </x:row>
    <x:row r="322" ht="22" customHeight="1">
      <x:c r="A322" s="300"/>
      <x:c r="B322" s="300"/>
      <x:c r="C322" s="300"/>
      <x:c r="D322" s="300"/>
      <x:c r="E322" s="300"/>
      <x:c r="F322" s="300"/>
      <x:c r="G322" s="300"/>
      <x:c r="H322" s="300"/>
      <x:c r="I322" s="300"/>
      <x:c r="J322" s="300"/>
      <x:c r="K322" s="300"/>
      <x:c r="L322" s="300"/>
      <x:c r="M322" s="300"/>
      <x:c r="N322" s="300"/>
    </x:row>
    <x:row r="323" ht="22" customHeight="1">
      <x:c r="A323" s="300"/>
      <x:c r="B323" s="300"/>
      <x:c r="C323" s="300"/>
      <x:c r="D323" s="300"/>
      <x:c r="E323" s="300"/>
      <x:c r="F323" s="300"/>
      <x:c r="G323" s="300"/>
      <x:c r="H323" s="300"/>
      <x:c r="I323" s="300"/>
      <x:c r="J323" s="300"/>
      <x:c r="K323" s="300"/>
      <x:c r="L323" s="300"/>
      <x:c r="M323" s="300"/>
      <x:c r="N323" s="300"/>
    </x:row>
    <x:row r="324" ht="22" customHeight="1">
      <x:c r="A324" s="300"/>
      <x:c r="B324" s="300"/>
      <x:c r="C324" s="300"/>
      <x:c r="D324" s="300"/>
      <x:c r="E324" s="300"/>
      <x:c r="F324" s="300"/>
      <x:c r="G324" s="300"/>
      <x:c r="H324" s="300"/>
      <x:c r="I324" s="300"/>
      <x:c r="J324" s="300"/>
      <x:c r="K324" s="300"/>
      <x:c r="L324" s="300"/>
      <x:c r="M324" s="300"/>
      <x:c r="N324" s="300"/>
    </x:row>
    <x:row r="325" ht="22" customHeight="1">
      <x:c r="A325" s="300"/>
      <x:c r="B325" s="300"/>
      <x:c r="C325" s="300"/>
      <x:c r="D325" s="300"/>
      <x:c r="E325" s="300"/>
      <x:c r="F325" s="300"/>
      <x:c r="G325" s="300"/>
      <x:c r="H325" s="300"/>
      <x:c r="I325" s="300"/>
      <x:c r="J325" s="300"/>
      <x:c r="K325" s="300"/>
      <x:c r="L325" s="300"/>
      <x:c r="M325" s="300"/>
      <x:c r="N325" s="300"/>
    </x:row>
    <x:row r="326" ht="22" customHeight="1">
      <x:c r="A326" s="300"/>
      <x:c r="B326" s="300"/>
      <x:c r="C326" s="300"/>
      <x:c r="D326" s="300"/>
      <x:c r="E326" s="300"/>
      <x:c r="F326" s="300"/>
      <x:c r="G326" s="300"/>
      <x:c r="H326" s="300"/>
      <x:c r="I326" s="300"/>
      <x:c r="J326" s="300"/>
      <x:c r="K326" s="300"/>
      <x:c r="L326" s="300"/>
      <x:c r="M326" s="300"/>
      <x:c r="N326" s="300"/>
    </x:row>
    <x:row r="327" ht="22" customHeight="1">
      <x:c r="A327" s="300"/>
      <x:c r="B327" s="300"/>
      <x:c r="C327" s="300"/>
      <x:c r="D327" s="300"/>
      <x:c r="E327" s="300"/>
      <x:c r="F327" s="300"/>
      <x:c r="G327" s="300"/>
      <x:c r="H327" s="300"/>
      <x:c r="I327" s="300"/>
      <x:c r="J327" s="300"/>
      <x:c r="K327" s="300"/>
      <x:c r="L327" s="300"/>
      <x:c r="M327" s="300"/>
      <x:c r="N327" s="300"/>
    </x:row>
    <x:row r="328" ht="22" customHeight="1">
      <x:c r="A328" s="300"/>
      <x:c r="B328" s="300"/>
      <x:c r="C328" s="300"/>
      <x:c r="D328" s="300"/>
      <x:c r="E328" s="300"/>
      <x:c r="F328" s="300"/>
      <x:c r="G328" s="300"/>
      <x:c r="H328" s="300"/>
      <x:c r="I328" s="300"/>
      <x:c r="J328" s="300"/>
      <x:c r="K328" s="300"/>
      <x:c r="L328" s="300"/>
      <x:c r="M328" s="300"/>
      <x:c r="N328" s="300"/>
    </x:row>
    <x:row r="329" ht="22" customHeight="1">
      <x:c r="A329" s="300"/>
      <x:c r="B329" s="300"/>
      <x:c r="C329" s="300"/>
      <x:c r="D329" s="300"/>
      <x:c r="E329" s="300"/>
      <x:c r="F329" s="300"/>
      <x:c r="G329" s="300"/>
      <x:c r="H329" s="300"/>
      <x:c r="I329" s="300"/>
      <x:c r="J329" s="300"/>
      <x:c r="K329" s="300"/>
      <x:c r="L329" s="300"/>
      <x:c r="M329" s="300"/>
      <x:c r="N329" s="300"/>
    </x:row>
    <x:row r="330" ht="22" customHeight="1">
      <x:c r="A330" s="300"/>
      <x:c r="B330" s="300"/>
      <x:c r="C330" s="300"/>
      <x:c r="D330" s="300"/>
      <x:c r="E330" s="300"/>
      <x:c r="F330" s="300"/>
      <x:c r="G330" s="300"/>
      <x:c r="H330" s="300"/>
      <x:c r="I330" s="300"/>
      <x:c r="J330" s="300"/>
      <x:c r="K330" s="300"/>
      <x:c r="L330" s="300"/>
      <x:c r="M330" s="300"/>
      <x:c r="N330" s="300"/>
    </x:row>
    <x:row r="331" ht="22" customHeight="1">
      <x:c r="A331" s="300"/>
      <x:c r="B331" s="300"/>
      <x:c r="C331" s="300"/>
      <x:c r="D331" s="300"/>
      <x:c r="E331" s="300"/>
      <x:c r="F331" s="300"/>
      <x:c r="G331" s="300"/>
      <x:c r="H331" s="300"/>
      <x:c r="I331" s="300"/>
      <x:c r="J331" s="300"/>
      <x:c r="K331" s="300"/>
      <x:c r="L331" s="300"/>
      <x:c r="M331" s="300"/>
      <x:c r="N331" s="300"/>
    </x:row>
    <x:row r="332" ht="22" customHeight="1">
      <x:c r="A332" s="300"/>
      <x:c r="B332" s="300"/>
      <x:c r="C332" s="300"/>
      <x:c r="D332" s="300"/>
      <x:c r="E332" s="300"/>
      <x:c r="F332" s="300"/>
      <x:c r="G332" s="300"/>
      <x:c r="H332" s="300"/>
      <x:c r="I332" s="300"/>
      <x:c r="J332" s="300"/>
      <x:c r="K332" s="300"/>
      <x:c r="L332" s="300"/>
      <x:c r="M332" s="300"/>
      <x:c r="N332" s="300"/>
    </x:row>
    <x:row r="333" ht="22" customHeight="1">
      <x:c r="A333" s="300"/>
      <x:c r="B333" s="300"/>
      <x:c r="C333" s="300"/>
      <x:c r="D333" s="300"/>
      <x:c r="E333" s="300"/>
      <x:c r="F333" s="300"/>
      <x:c r="G333" s="300"/>
      <x:c r="H333" s="300"/>
      <x:c r="I333" s="300"/>
      <x:c r="J333" s="300"/>
      <x:c r="K333" s="300"/>
      <x:c r="L333" s="300"/>
      <x:c r="M333" s="300"/>
      <x:c r="N333" s="300"/>
    </x:row>
    <x:row r="334" ht="22" customHeight="1">
      <x:c r="A334" s="300"/>
      <x:c r="B334" s="300"/>
      <x:c r="C334" s="300"/>
      <x:c r="D334" s="300"/>
      <x:c r="E334" s="300"/>
      <x:c r="F334" s="300"/>
      <x:c r="G334" s="300"/>
      <x:c r="H334" s="300"/>
      <x:c r="I334" s="300"/>
      <x:c r="J334" s="300"/>
      <x:c r="K334" s="300"/>
      <x:c r="L334" s="300"/>
      <x:c r="M334" s="300"/>
      <x:c r="N334" s="300"/>
    </x:row>
    <x:row r="335" ht="22" customHeight="1">
      <x:c r="A335" s="300"/>
      <x:c r="B335" s="300"/>
      <x:c r="C335" s="300"/>
      <x:c r="D335" s="300"/>
      <x:c r="E335" s="300"/>
      <x:c r="F335" s="300"/>
      <x:c r="G335" s="300"/>
      <x:c r="H335" s="300"/>
      <x:c r="I335" s="300"/>
      <x:c r="J335" s="300"/>
      <x:c r="K335" s="300"/>
      <x:c r="L335" s="300"/>
      <x:c r="M335" s="300"/>
      <x:c r="N335" s="300"/>
    </x:row>
    <x:row r="336" ht="22" customHeight="1">
      <x:c r="A336" s="300"/>
      <x:c r="B336" s="300"/>
      <x:c r="C336" s="300"/>
      <x:c r="D336" s="300"/>
      <x:c r="E336" s="300"/>
      <x:c r="F336" s="300"/>
      <x:c r="G336" s="300"/>
      <x:c r="H336" s="300"/>
      <x:c r="I336" s="300"/>
      <x:c r="J336" s="300"/>
      <x:c r="K336" s="300"/>
      <x:c r="L336" s="300"/>
      <x:c r="M336" s="300"/>
      <x:c r="N336" s="300"/>
    </x:row>
    <x:row r="337" ht="22" customHeight="1">
      <x:c r="A337" s="300"/>
      <x:c r="B337" s="300"/>
      <x:c r="C337" s="300"/>
      <x:c r="D337" s="300"/>
      <x:c r="E337" s="300"/>
      <x:c r="F337" s="300"/>
      <x:c r="G337" s="300"/>
      <x:c r="H337" s="300"/>
      <x:c r="I337" s="300"/>
      <x:c r="J337" s="300"/>
      <x:c r="K337" s="300"/>
      <x:c r="L337" s="300"/>
      <x:c r="M337" s="300"/>
      <x:c r="N337" s="300"/>
    </x:row>
    <x:row r="338" ht="22" customHeight="1">
      <x:c r="A338" s="300"/>
      <x:c r="B338" s="300"/>
      <x:c r="C338" s="300"/>
      <x:c r="D338" s="300"/>
      <x:c r="E338" s="300"/>
      <x:c r="F338" s="300"/>
      <x:c r="G338" s="300"/>
      <x:c r="H338" s="300"/>
      <x:c r="I338" s="300"/>
      <x:c r="J338" s="300"/>
      <x:c r="K338" s="300"/>
      <x:c r="L338" s="300"/>
      <x:c r="M338" s="300"/>
      <x:c r="N338" s="300"/>
    </x:row>
    <x:row r="339" ht="22" customHeight="1">
      <x:c r="A339" s="300"/>
      <x:c r="B339" s="300"/>
      <x:c r="C339" s="300"/>
      <x:c r="D339" s="300"/>
      <x:c r="E339" s="300"/>
      <x:c r="F339" s="300"/>
      <x:c r="G339" s="300"/>
      <x:c r="H339" s="300"/>
      <x:c r="I339" s="300"/>
      <x:c r="J339" s="300"/>
      <x:c r="K339" s="300"/>
      <x:c r="L339" s="300"/>
      <x:c r="M339" s="300"/>
      <x:c r="N339" s="300"/>
    </x:row>
    <x:row r="340" ht="22" customHeight="1">
      <x:c r="A340" s="300"/>
      <x:c r="B340" s="300"/>
      <x:c r="C340" s="300"/>
      <x:c r="D340" s="300"/>
      <x:c r="E340" s="300"/>
      <x:c r="F340" s="300"/>
      <x:c r="G340" s="300"/>
      <x:c r="H340" s="300"/>
      <x:c r="I340" s="300"/>
      <x:c r="J340" s="300"/>
      <x:c r="K340" s="300"/>
      <x:c r="L340" s="300"/>
      <x:c r="M340" s="300"/>
      <x:c r="N340" s="300"/>
    </x:row>
    <x:row r="341" ht="22" customHeight="1">
      <x:c r="A341" s="300"/>
      <x:c r="B341" s="300"/>
      <x:c r="C341" s="300"/>
      <x:c r="D341" s="300"/>
      <x:c r="E341" s="300"/>
      <x:c r="F341" s="300"/>
      <x:c r="G341" s="300"/>
      <x:c r="H341" s="300"/>
      <x:c r="I341" s="300"/>
      <x:c r="J341" s="300"/>
      <x:c r="K341" s="300"/>
      <x:c r="L341" s="300"/>
      <x:c r="M341" s="300"/>
      <x:c r="N341" s="300"/>
    </x:row>
    <x:row r="342" ht="22" customHeight="1">
      <x:c r="A342" s="300"/>
      <x:c r="B342" s="300"/>
      <x:c r="C342" s="300"/>
      <x:c r="D342" s="300"/>
      <x:c r="E342" s="300"/>
      <x:c r="F342" s="300"/>
      <x:c r="G342" s="300"/>
      <x:c r="H342" s="300"/>
      <x:c r="I342" s="300"/>
      <x:c r="J342" s="300"/>
      <x:c r="K342" s="300"/>
      <x:c r="L342" s="300"/>
      <x:c r="M342" s="300"/>
      <x:c r="N342" s="300"/>
    </x:row>
    <x:row r="343" ht="22" customHeight="1">
      <x:c r="A343" s="300"/>
      <x:c r="B343" s="300"/>
      <x:c r="C343" s="300"/>
      <x:c r="D343" s="300"/>
      <x:c r="E343" s="300"/>
      <x:c r="F343" s="300"/>
      <x:c r="G343" s="300"/>
      <x:c r="H343" s="300"/>
      <x:c r="I343" s="300"/>
      <x:c r="J343" s="300"/>
      <x:c r="K343" s="300"/>
      <x:c r="L343" s="300"/>
      <x:c r="M343" s="300"/>
      <x:c r="N343" s="300"/>
    </x:row>
    <x:row r="344" ht="22" customHeight="1">
      <x:c r="A344" s="300"/>
      <x:c r="B344" s="300"/>
      <x:c r="C344" s="300"/>
      <x:c r="D344" s="300"/>
      <x:c r="E344" s="300"/>
      <x:c r="F344" s="300"/>
      <x:c r="G344" s="300"/>
      <x:c r="H344" s="300"/>
      <x:c r="I344" s="300"/>
      <x:c r="J344" s="300"/>
      <x:c r="K344" s="300"/>
      <x:c r="L344" s="300"/>
      <x:c r="M344" s="300"/>
      <x:c r="N344" s="300"/>
    </x:row>
    <x:row r="345" ht="22" customHeight="1">
      <x:c r="A345" s="300"/>
      <x:c r="B345" s="300"/>
      <x:c r="C345" s="300"/>
      <x:c r="D345" s="300"/>
      <x:c r="E345" s="300"/>
      <x:c r="F345" s="300"/>
      <x:c r="G345" s="300"/>
      <x:c r="H345" s="300"/>
      <x:c r="I345" s="300"/>
      <x:c r="J345" s="300"/>
      <x:c r="K345" s="300"/>
      <x:c r="L345" s="300"/>
      <x:c r="M345" s="300"/>
      <x:c r="N345" s="300"/>
    </x:row>
    <x:row r="346" ht="22" customHeight="1">
      <x:c r="A346" s="300"/>
      <x:c r="B346" s="300"/>
      <x:c r="C346" s="300"/>
      <x:c r="D346" s="300"/>
      <x:c r="E346" s="300"/>
      <x:c r="F346" s="300"/>
      <x:c r="G346" s="300"/>
      <x:c r="H346" s="300"/>
      <x:c r="I346" s="300"/>
      <x:c r="J346" s="300"/>
      <x:c r="K346" s="300"/>
      <x:c r="L346" s="300"/>
      <x:c r="M346" s="300"/>
      <x:c r="N346" s="300"/>
    </x:row>
    <x:row r="347" ht="22" customHeight="1">
      <x:c r="A347" s="300"/>
      <x:c r="B347" s="300"/>
      <x:c r="C347" s="300"/>
      <x:c r="D347" s="300"/>
      <x:c r="E347" s="300"/>
      <x:c r="F347" s="300"/>
      <x:c r="G347" s="300"/>
      <x:c r="H347" s="300"/>
      <x:c r="I347" s="300"/>
      <x:c r="J347" s="300"/>
      <x:c r="K347" s="300"/>
      <x:c r="L347" s="300"/>
      <x:c r="M347" s="300"/>
      <x:c r="N347" s="300"/>
    </x:row>
    <x:row r="348" ht="22" customHeight="1">
      <x:c r="A348" s="300"/>
      <x:c r="B348" s="300"/>
      <x:c r="C348" s="300"/>
      <x:c r="D348" s="300"/>
      <x:c r="E348" s="300"/>
      <x:c r="F348" s="300"/>
      <x:c r="G348" s="300"/>
      <x:c r="H348" s="300"/>
      <x:c r="I348" s="300"/>
      <x:c r="J348" s="300"/>
      <x:c r="K348" s="300"/>
      <x:c r="L348" s="300"/>
      <x:c r="M348" s="300"/>
      <x:c r="N348" s="300"/>
    </x:row>
    <x:row r="349" ht="22" customHeight="1">
      <x:c r="A349" s="300"/>
      <x:c r="B349" s="300"/>
      <x:c r="C349" s="300"/>
      <x:c r="D349" s="300"/>
      <x:c r="E349" s="300"/>
      <x:c r="F349" s="300"/>
      <x:c r="G349" s="300"/>
      <x:c r="H349" s="300"/>
      <x:c r="I349" s="300"/>
      <x:c r="J349" s="300"/>
      <x:c r="K349" s="300"/>
      <x:c r="L349" s="300"/>
      <x:c r="M349" s="300"/>
      <x:c r="N349" s="300"/>
    </x:row>
    <x:row r="350" ht="22" customHeight="1">
      <x:c r="A350" s="300"/>
      <x:c r="B350" s="300"/>
      <x:c r="C350" s="300"/>
      <x:c r="D350" s="300"/>
      <x:c r="E350" s="300"/>
      <x:c r="F350" s="300"/>
      <x:c r="G350" s="300"/>
      <x:c r="H350" s="300"/>
      <x:c r="I350" s="300"/>
      <x:c r="J350" s="300"/>
      <x:c r="K350" s="300"/>
      <x:c r="L350" s="300"/>
      <x:c r="M350" s="300"/>
      <x:c r="N350" s="300"/>
    </x:row>
    <x:row r="351" ht="22" customHeight="1">
      <x:c r="A351" s="300"/>
      <x:c r="B351" s="300"/>
      <x:c r="C351" s="300"/>
      <x:c r="D351" s="300"/>
      <x:c r="E351" s="300"/>
      <x:c r="F351" s="300"/>
      <x:c r="G351" s="300"/>
      <x:c r="H351" s="300"/>
      <x:c r="I351" s="300"/>
      <x:c r="J351" s="300"/>
      <x:c r="K351" s="300"/>
      <x:c r="L351" s="300"/>
      <x:c r="M351" s="300"/>
      <x:c r="N351" s="300"/>
    </x:row>
    <x:row r="352" ht="22" customHeight="1">
      <x:c r="A352" s="300"/>
      <x:c r="B352" s="300"/>
      <x:c r="C352" s="300"/>
      <x:c r="D352" s="300"/>
      <x:c r="E352" s="300"/>
      <x:c r="F352" s="300"/>
      <x:c r="G352" s="300"/>
      <x:c r="H352" s="300"/>
      <x:c r="I352" s="300"/>
      <x:c r="J352" s="300"/>
      <x:c r="K352" s="300"/>
      <x:c r="L352" s="300"/>
      <x:c r="M352" s="300"/>
      <x:c r="N352" s="300"/>
    </x:row>
    <x:row r="353" ht="22" customHeight="1">
      <x:c r="A353" s="300"/>
      <x:c r="B353" s="300"/>
      <x:c r="C353" s="300"/>
      <x:c r="D353" s="300"/>
      <x:c r="E353" s="300"/>
      <x:c r="F353" s="300"/>
      <x:c r="G353" s="300"/>
      <x:c r="H353" s="300"/>
      <x:c r="I353" s="300"/>
      <x:c r="J353" s="300"/>
      <x:c r="K353" s="300"/>
      <x:c r="L353" s="300"/>
      <x:c r="M353" s="300"/>
      <x:c r="N353" s="300"/>
    </x:row>
    <x:row r="354" ht="22" customHeight="1">
      <x:c r="A354" s="300"/>
      <x:c r="B354" s="300"/>
      <x:c r="C354" s="300"/>
      <x:c r="D354" s="300"/>
      <x:c r="E354" s="300"/>
      <x:c r="F354" s="300"/>
      <x:c r="G354" s="300"/>
      <x:c r="H354" s="300"/>
      <x:c r="I354" s="300"/>
      <x:c r="J354" s="300"/>
      <x:c r="K354" s="300"/>
      <x:c r="L354" s="300"/>
      <x:c r="M354" s="300"/>
      <x:c r="N354" s="300"/>
    </x:row>
    <x:row r="355" ht="22" customHeight="1">
      <x:c r="A355" s="300"/>
      <x:c r="B355" s="300"/>
      <x:c r="C355" s="300"/>
      <x:c r="D355" s="300"/>
      <x:c r="E355" s="300"/>
      <x:c r="F355" s="300"/>
      <x:c r="G355" s="300"/>
      <x:c r="H355" s="300"/>
      <x:c r="I355" s="300"/>
      <x:c r="J355" s="300"/>
      <x:c r="K355" s="300"/>
      <x:c r="L355" s="300"/>
      <x:c r="M355" s="300"/>
      <x:c r="N355" s="300"/>
    </x:row>
    <x:row r="356" ht="22" customHeight="1">
      <x:c r="A356" s="300"/>
      <x:c r="B356" s="300"/>
      <x:c r="C356" s="300"/>
      <x:c r="D356" s="300"/>
      <x:c r="E356" s="300"/>
      <x:c r="F356" s="300"/>
      <x:c r="G356" s="300"/>
      <x:c r="H356" s="300"/>
      <x:c r="I356" s="300"/>
      <x:c r="J356" s="300"/>
      <x:c r="K356" s="300"/>
      <x:c r="L356" s="300"/>
      <x:c r="M356" s="300"/>
      <x:c r="N356" s="300"/>
    </x:row>
    <x:row r="357" ht="22" customHeight="1">
      <x:c r="A357" s="300"/>
      <x:c r="B357" s="300"/>
      <x:c r="C357" s="300"/>
      <x:c r="D357" s="300"/>
      <x:c r="E357" s="300"/>
      <x:c r="F357" s="300"/>
      <x:c r="G357" s="300"/>
      <x:c r="H357" s="300"/>
      <x:c r="I357" s="300"/>
      <x:c r="J357" s="300"/>
      <x:c r="K357" s="300"/>
      <x:c r="L357" s="300"/>
      <x:c r="M357" s="300"/>
      <x:c r="N357" s="300"/>
    </x:row>
    <x:row r="358" ht="22" customHeight="1">
      <x:c r="A358" s="300"/>
      <x:c r="B358" s="300"/>
      <x:c r="C358" s="300"/>
      <x:c r="D358" s="300"/>
      <x:c r="E358" s="300"/>
      <x:c r="F358" s="300"/>
      <x:c r="G358" s="300"/>
      <x:c r="H358" s="300"/>
      <x:c r="I358" s="300"/>
      <x:c r="J358" s="300"/>
      <x:c r="K358" s="300"/>
      <x:c r="L358" s="300"/>
      <x:c r="M358" s="300"/>
      <x:c r="N358" s="300"/>
    </x:row>
    <x:row r="359" ht="22" customHeight="1">
      <x:c r="A359" s="300"/>
      <x:c r="B359" s="300"/>
      <x:c r="C359" s="300"/>
      <x:c r="D359" s="300"/>
      <x:c r="E359" s="300"/>
      <x:c r="F359" s="300"/>
      <x:c r="G359" s="300"/>
      <x:c r="H359" s="300"/>
      <x:c r="I359" s="300"/>
      <x:c r="J359" s="300"/>
      <x:c r="K359" s="300"/>
      <x:c r="L359" s="300"/>
      <x:c r="M359" s="300"/>
      <x:c r="N359" s="300"/>
    </x:row>
    <x:row r="360" ht="22" customHeight="1">
      <x:c r="A360" s="300"/>
      <x:c r="B360" s="300"/>
      <x:c r="C360" s="300"/>
      <x:c r="D360" s="300"/>
      <x:c r="E360" s="300"/>
      <x:c r="F360" s="300"/>
      <x:c r="G360" s="300"/>
      <x:c r="H360" s="300"/>
      <x:c r="I360" s="300"/>
      <x:c r="J360" s="300"/>
      <x:c r="K360" s="300"/>
      <x:c r="L360" s="300"/>
      <x:c r="M360" s="300"/>
      <x:c r="N360" s="300"/>
    </x:row>
    <x:row r="361" ht="22" customHeight="1">
      <x:c r="A361" s="300"/>
      <x:c r="B361" s="300"/>
      <x:c r="C361" s="300"/>
      <x:c r="D361" s="300"/>
      <x:c r="E361" s="300"/>
      <x:c r="F361" s="300"/>
      <x:c r="G361" s="300"/>
      <x:c r="H361" s="300"/>
      <x:c r="I361" s="300"/>
      <x:c r="J361" s="300"/>
      <x:c r="K361" s="300"/>
      <x:c r="L361" s="300"/>
      <x:c r="M361" s="300"/>
      <x:c r="N361" s="300"/>
    </x:row>
    <x:row r="362" ht="22" customHeight="1">
      <x:c r="A362" s="300"/>
      <x:c r="B362" s="300"/>
      <x:c r="C362" s="300"/>
      <x:c r="D362" s="300"/>
      <x:c r="E362" s="300"/>
      <x:c r="F362" s="300"/>
      <x:c r="G362" s="300"/>
      <x:c r="H362" s="300"/>
      <x:c r="I362" s="300"/>
      <x:c r="J362" s="300"/>
      <x:c r="K362" s="300"/>
      <x:c r="L362" s="300"/>
      <x:c r="M362" s="300"/>
      <x:c r="N362" s="300"/>
    </x:row>
    <x:row r="363" ht="22" customHeight="1">
      <x:c r="A363" s="300"/>
      <x:c r="B363" s="300"/>
      <x:c r="C363" s="300"/>
      <x:c r="D363" s="300"/>
      <x:c r="E363" s="300"/>
      <x:c r="F363" s="300"/>
      <x:c r="G363" s="300"/>
      <x:c r="H363" s="300"/>
      <x:c r="I363" s="300"/>
      <x:c r="J363" s="300"/>
      <x:c r="K363" s="300"/>
      <x:c r="L363" s="300"/>
      <x:c r="M363" s="300"/>
      <x:c r="N363" s="300"/>
    </x:row>
    <x:row r="364" ht="22" customHeight="1">
      <x:c r="A364" s="300"/>
      <x:c r="B364" s="300"/>
      <x:c r="C364" s="300"/>
      <x:c r="D364" s="300"/>
      <x:c r="E364" s="300"/>
      <x:c r="F364" s="300"/>
      <x:c r="G364" s="300"/>
      <x:c r="H364" s="300"/>
      <x:c r="I364" s="300"/>
      <x:c r="J364" s="300"/>
      <x:c r="K364" s="300"/>
      <x:c r="L364" s="300"/>
      <x:c r="M364" s="300"/>
      <x:c r="N364" s="300"/>
    </x:row>
    <x:row r="365" ht="22" customHeight="1">
      <x:c r="A365" s="300"/>
      <x:c r="B365" s="300"/>
      <x:c r="C365" s="300"/>
      <x:c r="D365" s="300"/>
      <x:c r="E365" s="300"/>
      <x:c r="F365" s="300"/>
      <x:c r="G365" s="300"/>
      <x:c r="H365" s="300"/>
      <x:c r="I365" s="300"/>
      <x:c r="J365" s="300"/>
      <x:c r="K365" s="300"/>
      <x:c r="L365" s="300"/>
      <x:c r="M365" s="300"/>
      <x:c r="N365" s="300"/>
    </x:row>
    <x:row r="366" ht="22" customHeight="1">
      <x:c r="A366" s="300"/>
      <x:c r="B366" s="300"/>
      <x:c r="C366" s="300"/>
      <x:c r="D366" s="300"/>
      <x:c r="E366" s="300"/>
      <x:c r="F366" s="300"/>
      <x:c r="G366" s="300"/>
      <x:c r="H366" s="300"/>
      <x:c r="I366" s="300"/>
      <x:c r="J366" s="300"/>
      <x:c r="K366" s="300"/>
      <x:c r="L366" s="300"/>
      <x:c r="M366" s="300"/>
      <x:c r="N366" s="300"/>
    </x:row>
    <x:row r="367" ht="22" customHeight="1">
      <x:c r="A367" s="300"/>
      <x:c r="B367" s="300"/>
      <x:c r="C367" s="300"/>
      <x:c r="D367" s="300"/>
      <x:c r="E367" s="300"/>
      <x:c r="F367" s="300"/>
      <x:c r="G367" s="300"/>
      <x:c r="H367" s="300"/>
      <x:c r="I367" s="300"/>
      <x:c r="J367" s="300"/>
      <x:c r="K367" s="300"/>
      <x:c r="L367" s="300"/>
      <x:c r="M367" s="300"/>
      <x:c r="N367" s="300"/>
    </x:row>
    <x:row r="368" ht="22" customHeight="1">
      <x:c r="A368" s="300"/>
      <x:c r="B368" s="300"/>
      <x:c r="C368" s="300"/>
      <x:c r="D368" s="300"/>
      <x:c r="E368" s="300"/>
      <x:c r="F368" s="300"/>
      <x:c r="G368" s="300"/>
      <x:c r="H368" s="300"/>
      <x:c r="I368" s="300"/>
      <x:c r="J368" s="300"/>
      <x:c r="K368" s="300"/>
      <x:c r="L368" s="300"/>
      <x:c r="M368" s="300"/>
      <x:c r="N368" s="300"/>
    </x:row>
    <x:row r="369" ht="22" customHeight="1">
      <x:c r="A369" s="300"/>
      <x:c r="B369" s="300"/>
      <x:c r="C369" s="300"/>
      <x:c r="D369" s="300"/>
      <x:c r="E369" s="300"/>
      <x:c r="F369" s="300"/>
      <x:c r="G369" s="300"/>
      <x:c r="H369" s="300"/>
      <x:c r="I369" s="300"/>
      <x:c r="J369" s="300"/>
      <x:c r="K369" s="300"/>
      <x:c r="L369" s="300"/>
      <x:c r="M369" s="300"/>
      <x:c r="N369" s="300"/>
    </x:row>
    <x:row r="370" ht="22" customHeight="1">
      <x:c r="A370" s="300"/>
      <x:c r="B370" s="300"/>
      <x:c r="C370" s="300"/>
      <x:c r="D370" s="300"/>
      <x:c r="E370" s="300"/>
      <x:c r="F370" s="300"/>
      <x:c r="G370" s="300"/>
      <x:c r="H370" s="300"/>
      <x:c r="I370" s="300"/>
      <x:c r="J370" s="300"/>
      <x:c r="K370" s="300"/>
      <x:c r="L370" s="300"/>
      <x:c r="M370" s="300"/>
      <x:c r="N370" s="300"/>
    </x:row>
    <x:row r="371" ht="22" customHeight="1">
      <x:c r="A371" s="300"/>
      <x:c r="B371" s="300"/>
      <x:c r="C371" s="300"/>
      <x:c r="D371" s="300"/>
      <x:c r="E371" s="300"/>
      <x:c r="F371" s="300"/>
      <x:c r="G371" s="300"/>
      <x:c r="H371" s="300"/>
      <x:c r="I371" s="300"/>
      <x:c r="J371" s="300"/>
      <x:c r="K371" s="300"/>
      <x:c r="L371" s="300"/>
      <x:c r="M371" s="300"/>
      <x:c r="N371" s="300"/>
    </x:row>
    <x:row r="372" ht="22" customHeight="1">
      <x:c r="A372" s="300"/>
      <x:c r="B372" s="300"/>
      <x:c r="C372" s="300"/>
      <x:c r="D372" s="300"/>
      <x:c r="E372" s="300"/>
      <x:c r="F372" s="300"/>
      <x:c r="G372" s="300"/>
      <x:c r="H372" s="300"/>
      <x:c r="I372" s="300"/>
      <x:c r="J372" s="300"/>
      <x:c r="K372" s="300"/>
      <x:c r="L372" s="300"/>
      <x:c r="M372" s="300"/>
      <x:c r="N372" s="300"/>
    </x:row>
    <x:row r="373" ht="22" customHeight="1">
      <x:c r="A373" s="300"/>
      <x:c r="B373" s="300"/>
      <x:c r="C373" s="300"/>
      <x:c r="D373" s="300"/>
      <x:c r="E373" s="300"/>
      <x:c r="F373" s="300"/>
      <x:c r="G373" s="300"/>
      <x:c r="H373" s="300"/>
      <x:c r="I373" s="300"/>
      <x:c r="J373" s="300"/>
      <x:c r="K373" s="300"/>
      <x:c r="L373" s="300"/>
      <x:c r="M373" s="300"/>
      <x:c r="N373" s="300"/>
    </x:row>
    <x:row r="374" ht="22" customHeight="1">
      <x:c r="A374" s="300"/>
      <x:c r="B374" s="300"/>
      <x:c r="C374" s="300"/>
      <x:c r="D374" s="300"/>
      <x:c r="E374" s="300"/>
      <x:c r="F374" s="300"/>
      <x:c r="G374" s="300"/>
      <x:c r="H374" s="300"/>
      <x:c r="I374" s="300"/>
      <x:c r="J374" s="300"/>
      <x:c r="K374" s="300"/>
      <x:c r="L374" s="300"/>
      <x:c r="M374" s="300"/>
      <x:c r="N374" s="300"/>
    </x:row>
    <x:row r="375" ht="22" customHeight="1">
      <x:c r="A375" s="300"/>
      <x:c r="B375" s="300"/>
      <x:c r="C375" s="300"/>
      <x:c r="D375" s="300"/>
      <x:c r="E375" s="300"/>
      <x:c r="F375" s="300"/>
      <x:c r="G375" s="300"/>
      <x:c r="H375" s="300"/>
      <x:c r="I375" s="300"/>
      <x:c r="J375" s="300"/>
      <x:c r="K375" s="300"/>
      <x:c r="L375" s="300"/>
      <x:c r="M375" s="300"/>
      <x:c r="N375" s="300"/>
    </x:row>
    <x:row r="376" ht="22" customHeight="1">
      <x:c r="A376" s="300"/>
      <x:c r="B376" s="300"/>
      <x:c r="C376" s="300"/>
      <x:c r="D376" s="300"/>
      <x:c r="E376" s="300"/>
      <x:c r="F376" s="300"/>
      <x:c r="G376" s="300"/>
      <x:c r="H376" s="300"/>
      <x:c r="I376" s="300"/>
      <x:c r="J376" s="300"/>
      <x:c r="K376" s="300"/>
      <x:c r="L376" s="300"/>
      <x:c r="M376" s="300"/>
      <x:c r="N376" s="300"/>
    </x:row>
    <x:row r="377" ht="22" customHeight="1">
      <x:c r="A377" s="300"/>
      <x:c r="B377" s="300"/>
      <x:c r="C377" s="300"/>
      <x:c r="D377" s="300"/>
      <x:c r="E377" s="300"/>
      <x:c r="F377" s="300"/>
      <x:c r="G377" s="300"/>
      <x:c r="H377" s="300"/>
      <x:c r="I377" s="300"/>
      <x:c r="J377" s="300"/>
      <x:c r="K377" s="300"/>
      <x:c r="L377" s="300"/>
      <x:c r="M377" s="300"/>
      <x:c r="N377" s="300"/>
    </x:row>
    <x:row r="378" ht="22" customHeight="1">
      <x:c r="A378" s="300"/>
      <x:c r="B378" s="300"/>
      <x:c r="C378" s="300"/>
      <x:c r="D378" s="300"/>
      <x:c r="E378" s="300"/>
      <x:c r="F378" s="300"/>
      <x:c r="G378" s="300"/>
      <x:c r="H378" s="300"/>
      <x:c r="I378" s="300"/>
      <x:c r="J378" s="300"/>
      <x:c r="K378" s="300"/>
      <x:c r="L378" s="300"/>
      <x:c r="M378" s="300"/>
      <x:c r="N378" s="300"/>
    </x:row>
    <x:row r="379" ht="22" customHeight="1">
      <x:c r="A379" s="300"/>
      <x:c r="B379" s="300"/>
      <x:c r="C379" s="300"/>
      <x:c r="D379" s="300"/>
      <x:c r="E379" s="300"/>
      <x:c r="F379" s="300"/>
      <x:c r="G379" s="300"/>
      <x:c r="H379" s="300"/>
      <x:c r="I379" s="300"/>
      <x:c r="J379" s="300"/>
      <x:c r="K379" s="300"/>
      <x:c r="L379" s="300"/>
      <x:c r="M379" s="300"/>
      <x:c r="N379" s="300"/>
    </x:row>
    <x:row r="380" ht="22" customHeight="1">
      <x:c r="A380" s="300"/>
      <x:c r="B380" s="300"/>
      <x:c r="C380" s="300"/>
      <x:c r="D380" s="300"/>
      <x:c r="E380" s="300"/>
      <x:c r="F380" s="300"/>
      <x:c r="G380" s="300"/>
      <x:c r="H380" s="300"/>
      <x:c r="I380" s="300"/>
      <x:c r="J380" s="300"/>
      <x:c r="K380" s="300"/>
      <x:c r="L380" s="300"/>
      <x:c r="M380" s="300"/>
      <x:c r="N380" s="300"/>
    </x:row>
    <x:row r="381" ht="22" customHeight="1">
      <x:c r="A381" s="300"/>
      <x:c r="B381" s="300"/>
      <x:c r="C381" s="300"/>
      <x:c r="D381" s="300"/>
      <x:c r="E381" s="300"/>
      <x:c r="F381" s="300"/>
      <x:c r="G381" s="300"/>
      <x:c r="H381" s="300"/>
      <x:c r="I381" s="300"/>
      <x:c r="J381" s="300"/>
      <x:c r="K381" s="300"/>
      <x:c r="L381" s="300"/>
      <x:c r="M381" s="300"/>
      <x:c r="N381" s="300"/>
    </x:row>
    <x:row r="382" ht="22" customHeight="1">
      <x:c r="A382" s="300"/>
      <x:c r="B382" s="300"/>
      <x:c r="C382" s="300"/>
      <x:c r="D382" s="300"/>
      <x:c r="E382" s="300"/>
      <x:c r="F382" s="300"/>
      <x:c r="G382" s="300"/>
      <x:c r="H382" s="300"/>
      <x:c r="I382" s="300"/>
      <x:c r="J382" s="300"/>
      <x:c r="K382" s="300"/>
      <x:c r="L382" s="300"/>
      <x:c r="M382" s="300"/>
      <x:c r="N382" s="300"/>
    </x:row>
    <x:row r="383" ht="22" customHeight="1">
      <x:c r="A383" s="300"/>
      <x:c r="B383" s="300"/>
      <x:c r="C383" s="300"/>
      <x:c r="D383" s="300"/>
      <x:c r="E383" s="300"/>
      <x:c r="F383" s="300"/>
      <x:c r="G383" s="300"/>
      <x:c r="H383" s="300"/>
      <x:c r="I383" s="300"/>
      <x:c r="J383" s="300"/>
      <x:c r="K383" s="300"/>
      <x:c r="L383" s="300"/>
      <x:c r="M383" s="300"/>
      <x:c r="N383" s="300"/>
    </x:row>
    <x:row r="384" ht="22" customHeight="1">
      <x:c r="A384" s="300"/>
      <x:c r="B384" s="300"/>
      <x:c r="C384" s="300"/>
      <x:c r="D384" s="300"/>
      <x:c r="E384" s="300"/>
      <x:c r="F384" s="300"/>
      <x:c r="G384" s="300"/>
      <x:c r="H384" s="300"/>
      <x:c r="I384" s="300"/>
      <x:c r="J384" s="300"/>
      <x:c r="K384" s="300"/>
      <x:c r="L384" s="300"/>
      <x:c r="M384" s="300"/>
      <x:c r="N384" s="300"/>
    </x:row>
    <x:row r="385" ht="22" customHeight="1">
      <x:c r="A385" s="300"/>
      <x:c r="B385" s="300"/>
      <x:c r="C385" s="300"/>
      <x:c r="D385" s="300"/>
      <x:c r="E385" s="300"/>
      <x:c r="F385" s="300"/>
      <x:c r="G385" s="300"/>
      <x:c r="H385" s="300"/>
      <x:c r="I385" s="300"/>
      <x:c r="J385" s="300"/>
      <x:c r="K385" s="300"/>
      <x:c r="L385" s="300"/>
      <x:c r="M385" s="300"/>
      <x:c r="N385" s="300"/>
    </x:row>
    <x:row r="386" ht="22" customHeight="1">
      <x:c r="A386" s="300"/>
      <x:c r="B386" s="300"/>
      <x:c r="C386" s="300"/>
      <x:c r="D386" s="300"/>
      <x:c r="E386" s="300"/>
      <x:c r="F386" s="300"/>
      <x:c r="G386" s="300"/>
      <x:c r="H386" s="300"/>
      <x:c r="I386" s="300"/>
      <x:c r="J386" s="300"/>
      <x:c r="K386" s="300"/>
      <x:c r="L386" s="300"/>
      <x:c r="M386" s="300"/>
      <x:c r="N386" s="300"/>
    </x:row>
    <x:row r="387" ht="22" customHeight="1">
      <x:c r="A387" s="300"/>
      <x:c r="B387" s="300"/>
      <x:c r="C387" s="300"/>
      <x:c r="D387" s="300"/>
      <x:c r="E387" s="300"/>
      <x:c r="F387" s="300"/>
      <x:c r="G387" s="300"/>
      <x:c r="H387" s="300"/>
      <x:c r="I387" s="300"/>
      <x:c r="J387" s="300"/>
      <x:c r="K387" s="300"/>
      <x:c r="L387" s="300"/>
      <x:c r="M387" s="300"/>
      <x:c r="N387" s="300"/>
    </x:row>
    <x:row r="388" ht="22" customHeight="1">
      <x:c r="A388" s="300"/>
      <x:c r="B388" s="300"/>
      <x:c r="C388" s="300"/>
      <x:c r="D388" s="300"/>
      <x:c r="E388" s="300"/>
      <x:c r="F388" s="300"/>
      <x:c r="G388" s="300"/>
      <x:c r="H388" s="300"/>
      <x:c r="I388" s="300"/>
      <x:c r="J388" s="300"/>
      <x:c r="K388" s="300"/>
      <x:c r="L388" s="300"/>
      <x:c r="M388" s="300"/>
      <x:c r="N388" s="300"/>
    </x:row>
    <x:row r="389" ht="22" customHeight="1">
      <x:c r="A389" s="300"/>
      <x:c r="B389" s="300"/>
      <x:c r="C389" s="300"/>
      <x:c r="D389" s="300"/>
      <x:c r="E389" s="300"/>
      <x:c r="F389" s="300"/>
      <x:c r="G389" s="300"/>
      <x:c r="H389" s="300"/>
      <x:c r="I389" s="300"/>
      <x:c r="J389" s="300"/>
      <x:c r="K389" s="300"/>
      <x:c r="L389" s="300"/>
      <x:c r="M389" s="300"/>
      <x:c r="N389" s="300"/>
    </x:row>
    <x:row r="390" ht="22" customHeight="1">
      <x:c r="A390" s="300"/>
      <x:c r="B390" s="300"/>
      <x:c r="C390" s="300"/>
      <x:c r="D390" s="300"/>
      <x:c r="E390" s="300"/>
      <x:c r="F390" s="300"/>
      <x:c r="G390" s="300"/>
      <x:c r="H390" s="300"/>
      <x:c r="I390" s="300"/>
      <x:c r="J390" s="300"/>
      <x:c r="K390" s="300"/>
      <x:c r="L390" s="300"/>
      <x:c r="M390" s="300"/>
      <x:c r="N390" s="300"/>
    </x:row>
    <x:row r="391" ht="22" customHeight="1">
      <x:c r="A391" s="300"/>
      <x:c r="B391" s="300"/>
      <x:c r="C391" s="300"/>
      <x:c r="D391" s="300"/>
      <x:c r="E391" s="300"/>
      <x:c r="F391" s="300"/>
      <x:c r="G391" s="300"/>
      <x:c r="H391" s="300"/>
      <x:c r="I391" s="300"/>
      <x:c r="J391" s="300"/>
      <x:c r="K391" s="300"/>
      <x:c r="L391" s="300"/>
      <x:c r="M391" s="300"/>
      <x:c r="N391" s="300"/>
    </x:row>
    <x:row r="392" ht="22" customHeight="1">
      <x:c r="A392" s="300"/>
      <x:c r="B392" s="300"/>
      <x:c r="C392" s="300"/>
      <x:c r="D392" s="300"/>
      <x:c r="E392" s="300"/>
      <x:c r="F392" s="300"/>
      <x:c r="G392" s="300"/>
      <x:c r="H392" s="300"/>
      <x:c r="I392" s="300"/>
      <x:c r="J392" s="300"/>
      <x:c r="K392" s="300"/>
      <x:c r="L392" s="300"/>
      <x:c r="M392" s="300"/>
      <x:c r="N392" s="300"/>
    </x:row>
    <x:row r="393" ht="22" customHeight="1">
      <x:c r="A393" s="300"/>
      <x:c r="B393" s="300"/>
      <x:c r="C393" s="300"/>
      <x:c r="D393" s="300"/>
      <x:c r="E393" s="300"/>
      <x:c r="F393" s="300"/>
      <x:c r="G393" s="300"/>
      <x:c r="H393" s="300"/>
      <x:c r="I393" s="300"/>
      <x:c r="J393" s="300"/>
      <x:c r="K393" s="300"/>
      <x:c r="L393" s="300"/>
      <x:c r="M393" s="300"/>
      <x:c r="N393" s="300"/>
    </x:row>
    <x:row r="394" ht="22" customHeight="1">
      <x:c r="A394" s="300"/>
      <x:c r="B394" s="300"/>
      <x:c r="C394" s="300"/>
      <x:c r="D394" s="300"/>
      <x:c r="E394" s="300"/>
      <x:c r="F394" s="300"/>
      <x:c r="G394" s="300"/>
      <x:c r="H394" s="300"/>
      <x:c r="I394" s="300"/>
      <x:c r="J394" s="300"/>
      <x:c r="K394" s="300"/>
      <x:c r="L394" s="300"/>
      <x:c r="M394" s="300"/>
      <x:c r="N394" s="300"/>
    </x:row>
    <x:row r="395" ht="22" customHeight="1">
      <x:c r="A395" s="300"/>
      <x:c r="B395" s="300"/>
      <x:c r="C395" s="300"/>
      <x:c r="D395" s="300"/>
      <x:c r="E395" s="300"/>
      <x:c r="F395" s="300"/>
      <x:c r="G395" s="300"/>
      <x:c r="H395" s="300"/>
      <x:c r="I395" s="300"/>
      <x:c r="J395" s="300"/>
      <x:c r="K395" s="300"/>
      <x:c r="L395" s="300"/>
      <x:c r="M395" s="300"/>
      <x:c r="N395" s="300"/>
    </x:row>
    <x:row r="396" ht="22" customHeight="1">
      <x:c r="A396" s="300"/>
      <x:c r="B396" s="300"/>
      <x:c r="C396" s="300"/>
      <x:c r="D396" s="300"/>
      <x:c r="E396" s="300"/>
      <x:c r="F396" s="300"/>
      <x:c r="G396" s="300"/>
      <x:c r="H396" s="300"/>
      <x:c r="I396" s="300"/>
      <x:c r="J396" s="300"/>
      <x:c r="K396" s="300"/>
      <x:c r="L396" s="300"/>
      <x:c r="M396" s="300"/>
      <x:c r="N396" s="300"/>
    </x:row>
    <x:row r="397" ht="22" customHeight="1">
      <x:c r="A397" s="300"/>
      <x:c r="B397" s="300"/>
      <x:c r="C397" s="300"/>
      <x:c r="D397" s="300"/>
      <x:c r="E397" s="300"/>
      <x:c r="F397" s="300"/>
      <x:c r="G397" s="300"/>
      <x:c r="H397" s="300"/>
      <x:c r="I397" s="300"/>
      <x:c r="J397" s="300"/>
      <x:c r="K397" s="300"/>
      <x:c r="L397" s="300"/>
      <x:c r="M397" s="300"/>
      <x:c r="N397" s="300"/>
    </x:row>
    <x:row r="398" ht="22" customHeight="1">
      <x:c r="A398" s="300"/>
      <x:c r="B398" s="300"/>
      <x:c r="C398" s="300"/>
      <x:c r="D398" s="300"/>
      <x:c r="E398" s="300"/>
      <x:c r="F398" s="300"/>
      <x:c r="G398" s="300"/>
      <x:c r="H398" s="300"/>
      <x:c r="I398" s="300"/>
      <x:c r="J398" s="300"/>
      <x:c r="K398" s="300"/>
      <x:c r="L398" s="300"/>
      <x:c r="M398" s="300"/>
      <x:c r="N398" s="300"/>
    </x:row>
    <x:row r="399" ht="22" customHeight="1">
      <x:c r="A399" s="300"/>
      <x:c r="B399" s="300"/>
      <x:c r="C399" s="300"/>
      <x:c r="D399" s="300"/>
      <x:c r="E399" s="300"/>
      <x:c r="F399" s="300"/>
      <x:c r="G399" s="300"/>
      <x:c r="H399" s="300"/>
      <x:c r="I399" s="300"/>
      <x:c r="J399" s="300"/>
      <x:c r="K399" s="300"/>
      <x:c r="L399" s="300"/>
      <x:c r="M399" s="300"/>
      <x:c r="N399" s="300"/>
    </x:row>
    <x:row r="400" ht="22" customHeight="1">
      <x:c r="A400" s="300"/>
      <x:c r="B400" s="300"/>
      <x:c r="C400" s="300"/>
      <x:c r="D400" s="300"/>
      <x:c r="E400" s="300"/>
      <x:c r="F400" s="300"/>
      <x:c r="G400" s="300"/>
      <x:c r="H400" s="300"/>
      <x:c r="I400" s="300"/>
      <x:c r="J400" s="300"/>
      <x:c r="K400" s="300"/>
      <x:c r="L400" s="300"/>
      <x:c r="M400" s="300"/>
      <x:c r="N400" s="300"/>
    </x:row>
  </x:sheetData>
  <x:mergeCells>
    <x:mergeCell ref="A1:K1"/>
    <x:mergeCell ref="A14:K14"/>
    <x:mergeCell ref="A48:K48"/>
  </x:mergeCells>
  <x:pageMargins left="0.7" right="0.7" top="0.75" bottom="0.75" header="0.3" footer="0.3"/>
</x:worksheet>
</file>