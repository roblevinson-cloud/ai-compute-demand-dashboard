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01fbc7691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003013e92124893"/>
    <x:sheet xmlns:r="http://schemas.openxmlformats.org/officeDocument/2006/relationships" name="Arrivals" sheetId="2" r:id="Ra6ff84a9f89c41ba"/>
    <x:sheet xmlns:r="http://schemas.openxmlformats.org/officeDocument/2006/relationships" name="Fixture Evidence" sheetId="3" r:id="Ref2912d9317b4343"/>
    <x:sheet xmlns:r="http://schemas.openxmlformats.org/officeDocument/2006/relationships" name="Monthly Monitor" sheetId="4" r:id="R666a46fba9dc42ee"/>
    <x:sheet xmlns:r="http://schemas.openxmlformats.org/officeDocument/2006/relationships" name="Annual Benchmarks" sheetId="5" r:id="R2f5450d696d94dbc"/>
    <x:sheet xmlns:r="http://schemas.openxmlformats.org/officeDocument/2006/relationships" name="Future Fleet" sheetId="6" r:id="Rec0b1ffb200a4ba8"/>
    <x:sheet xmlns:r="http://schemas.openxmlformats.org/officeDocument/2006/relationships" name="Sources &amp; Update" sheetId="7" r:id="R3b783367640640ff"/>
    <x:sheet xmlns:r="http://schemas.openxmlformats.org/officeDocument/2006/relationships" name="2026 Backfill" sheetId="8" r:id="R2dd1f02efd9641c6"/>
    <x:sheet xmlns:r="http://schemas.openxmlformats.org/officeDocument/2006/relationships" name="2026 Reconstruction" sheetId="9" r:id="R52d6c0e907774e54"/>
    <x:sheet xmlns:r="http://schemas.openxmlformats.org/officeDocument/2006/relationships" name="Customs Imports" sheetId="10" r:id="R5ddb49ae3fb7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yyyy-mm-dd"/>
    <x:numFmt numFmtId="201" formatCode="yyyy-mm-dd hh:mm"/>
    <x:numFmt numFmtId="202" formatCode="#,##0;[Red](#,##0);-"/>
    <x:numFmt numFmtId="203" formatCode="0.0;[Red](0.0);-"/>
    <x:numFmt numFmtId="204" formatCode="0.0"/>
    <x:numFmt numFmtId="205" formatCode="mmm-yy"/>
    <x:numFmt numFmtId="206" formatCode="0.0%"/>
    <x:numFmt numFmtId="207" formatCode="#,##0"/>
    <x:numFmt numFmtId="208" formatCode="0.00"/>
    <x:numFmt numFmtId="209" formatCode="0.0%;[Red](0.0%);-"/>
    <x:numFmt numFmtId="210" formatCode="0.00x"/>
    <x:numFmt numFmtId="211" formatCode="0.00;[Red](0.00);-"/>
    <x:numFmt numFmtId="212" formatCode="#,##0.0"/>
    <x:numFmt numFmtId="213" formatCode="#,##0.000"/>
  </x:numFmts>
  <x:fonts count="15">
    <x:font>
      <x:sz val="11"/>
      <x:name val="Carlito"/>
    </x:font>
    <x:font>
      <x:b/>
      <x:sz val="16"/>
      <x:color rgb="FFFFFFFF"/>
      <x:name val="Arial"/>
    </x:font>
    <x:font>
      <x:b/>
      <x:sz val="10"/>
      <x:color rgb="FF222222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C00000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i/>
      <x:sz val="10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  <x:font>
      <x:b/>
      <x:sz val="15"/>
      <x:color rgb="FF17365D"/>
      <x:name val="Arial"/>
    </x:font>
  </x:fonts>
  <x:fills count="2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206" fontId="3" fillId="0" borderId="0" xfId="0" applyNumberFormat="1" applyFont="1" applyFill="1" applyBorder="1"/>
    <x:xf numFmtId="206" fontId="4" fillId="0" borderId="0" xfId="0" applyNumberFormat="1" applyFont="1" applyFill="1" applyBorder="1"/>
    <x:xf numFmtId="206" fontId="3" fillId="0" borderId="1" xfId="0" applyNumberFormat="1" applyFont="1" applyFill="1" applyBorder="1"/>
    <x:xf numFmtId="206" fontId="4" fillId="0" borderId="1" xfId="0" applyNumberFormat="1" applyFont="1" applyFill="1" applyBorder="1"/>
    <x:xf numFmtId="207" fontId="3" fillId="0" borderId="0" xfId="0" applyNumberFormat="1" applyFont="1" applyFill="1" applyBorder="1"/>
    <x:xf numFmtId="207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3" fontId="0" fillId="7" borderId="0" xfId="0" applyNumberFormat="1" applyFont="1" applyFill="1" applyBorder="1"/>
    <x:xf numFmtId="206" fontId="0" fillId="7" borderId="0" xfId="0" applyNumberFormat="1" applyFont="1" applyFill="1" applyBorder="1"/>
    <x:xf numFmtId="203" fontId="10" fillId="7" borderId="0" xfId="0" applyNumberFormat="1" applyFont="1" applyFill="1" applyBorder="1"/>
    <x:xf numFmtId="206" fontId="10" fillId="7" borderId="0" xfId="0" applyNumberFormat="1" applyFont="1" applyFill="1" applyBorder="1"/>
    <x:xf numFmtId="203" fontId="0" fillId="7" borderId="1" xfId="0" applyNumberFormat="1" applyFont="1" applyFill="1" applyBorder="1"/>
    <x:xf numFmtId="206" fontId="0" fillId="7" borderId="1" xfId="0" applyNumberFormat="1" applyFont="1" applyFill="1" applyBorder="1"/>
    <x:xf numFmtId="203" fontId="10" fillId="7" borderId="1" xfId="0" applyNumberFormat="1" applyFont="1" applyFill="1" applyBorder="1"/>
    <x:xf numFmtId="206" fontId="10" fillId="7" borderId="1" xfId="0" applyNumberFormat="1" applyFont="1" applyFill="1" applyBorder="1"/>
    <x:xf numFmtId="0" fontId="3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203" fontId="10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/>
    </x:xf>
    <x:xf numFmtId="206" fontId="10" fillId="7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4" fontId="3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9" fillId="6" borderId="1" xfId="0" applyNumberFormat="1" applyFont="1" applyFill="1" applyBorder="1" applyAlignment="1">
      <x:alignment vertical="center" wrapText="1"/>
    </x:xf>
    <x:xf numFmtId="203" fontId="10" fillId="7" borderId="1" xfId="0" applyNumberFormat="1" applyFont="1" applyFill="1" applyBorder="1" applyAlignment="1">
      <x:alignment vertical="center"/>
    </x:xf>
    <x:xf numFmtId="0" fontId="2" fillId="8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/>
    </x:xf>
    <x:xf numFmtId="206" fontId="10" fillId="7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204" fontId="3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5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206" fontId="3" fillId="0" borderId="1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  <x:xf numFmtId="207" fontId="3" fillId="0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3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1" fontId="3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05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5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6" fontId="3" fillId="0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 wrapText="1"/>
    </x:xf>
    <x:xf numFmtId="207" fontId="3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6" fontId="3" fillId="0" borderId="1" xfId="0" applyNumberFormat="1" applyFont="1" applyFill="1" applyBorder="1" applyAlignment="1">
      <x:alignment vertical="center" wrapText="1"/>
    </x:xf>
    <x:xf numFmtId="206" fontId="4" fillId="0" borderId="1" xfId="0" applyNumberFormat="1" applyFont="1" applyFill="1" applyBorder="1" applyAlignment="1">
      <x:alignment vertical="center" wrapText="1"/>
    </x:xf>
    <x:xf numFmtId="207" fontId="3" fillId="0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/>
    <x:xf numFmtId="205" fontId="3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206" fontId="3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 applyAlignment="1">
      <x:alignment vertical="center" wrapText="1"/>
    </x:xf>
    <x:xf numFmtId="0" fontId="2" fillId="16" borderId="0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horizontal="center" vertical="center" wrapText="1"/>
    </x:xf>
    <x:xf numFmtId="208" fontId="3" fillId="0" borderId="0" xfId="0" applyNumberFormat="1" applyFont="1" applyFill="1" applyBorder="1"/>
    <x:xf numFmtId="202" fontId="4" fillId="0" borderId="0" xfId="0" applyNumberFormat="1" applyFont="1" applyFill="1" applyBorder="1"/>
    <x:xf numFmtId="209" fontId="4" fillId="0" borderId="0" xfId="0" applyNumberFormat="1" applyFont="1" applyFill="1" applyBorder="1"/>
    <x:xf numFmtId="210" fontId="4" fillId="0" borderId="0" xfId="0" applyNumberFormat="1" applyFont="1" applyFill="1" applyBorder="1"/>
    <x:xf numFmtId="202" fontId="3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10" fontId="4" fillId="0" borderId="0" xfId="0" applyNumberFormat="1" applyFont="1" applyFill="1" applyBorder="1" applyAlignment="1">
      <x:alignment wrapText="1"/>
    </x:xf>
    <x:xf numFmtId="209" fontId="4" fillId="0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wrapText="1"/>
    </x:xf>
    <x:xf numFmtId="0" fontId="12" fillId="21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wrapText="1"/>
    </x:xf>
    <x:xf numFmtId="0" fontId="12" fillId="22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vertical="top" wrapText="1"/>
    </x:xf>
    <x:xf numFmtId="0" fontId="8" fillId="19" borderId="0" xfId="0" applyNumberFormat="1" applyFont="1" applyFill="1" applyBorder="1" applyAlignment="1">
      <x:alignment vertical="center"/>
    </x:xf>
    <x:xf numFmtId="0" fontId="7" fillId="19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209" fontId="13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 wrapText="1"/>
    </x:xf>
    <x:xf numFmtId="209" fontId="13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8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8" fillId="22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211" fontId="4" fillId="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4" borderId="0" xfId="0" applyNumberFormat="1" applyFont="1" applyFill="1" applyBorder="1" applyAlignment="1">
      <x:alignment vertical="center"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203" fontId="3" fillId="0" borderId="0" xfId="0" applyNumberFormat="1" applyFont="1" applyFill="1" applyBorder="1" applyAlignment="1">
      <x:alignment vertical="center"/>
    </x:xf>
    <x:xf numFmtId="204" fontId="13" fillId="0" borderId="0" xfId="0" applyNumberFormat="1" applyFont="1" applyFill="1" applyBorder="1" applyAlignment="1">
      <x:alignment vertical="center" wrapText="1"/>
    </x:xf>
    <x:xf numFmtId="210" fontId="13" fillId="0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203" fontId="12" fillId="4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vertical="center"/>
    </x:xf>
    <x:xf numFmtId="0" fontId="7" fillId="26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 wrapText="1"/>
    </x:xf>
    <x:xf numFmtId="0" fontId="8" fillId="27" borderId="0" xfId="0" applyNumberFormat="1" applyFont="1" applyFill="1" applyBorder="1" applyAlignment="1">
      <x:alignment vertical="top" wrapText="1"/>
    </x:xf>
    <x:xf numFmtId="0" fontId="7" fillId="26" borderId="0" xfId="0" applyNumberFormat="1" applyFont="1" applyFill="1" applyBorder="1" applyAlignment="1">
      <x:alignment vertical="center" wrapText="1"/>
    </x:xf>
    <x:xf numFmtId="211" fontId="4" fillId="0" borderId="0" xfId="0" applyNumberFormat="1" applyFont="1" applyFill="1" applyBorder="1"/>
    <x:xf numFmtId="211" fontId="13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14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28" borderId="0" xfId="0" applyNumberFormat="1" applyFont="1" applyFill="1" applyBorder="1"/>
    <x:xf numFmtId="0" fontId="11" fillId="28" borderId="0" xfId="0" applyNumberFormat="1" applyFont="1" applyFill="1" applyBorder="1"/>
    <x:xf numFmtId="0" fontId="11" fillId="28" borderId="0" xfId="0" applyNumberFormat="1" applyFont="1" applyFill="1" applyBorder="1" applyAlignment="1">
      <x:alignment wrapText="1"/>
    </x:xf>
    <x:xf numFmtId="205" fontId="8" fillId="0" borderId="0" xfId="0" applyNumberFormat="1" applyFont="1" applyFill="1" applyBorder="1"/>
    <x:xf numFmtId="212" fontId="8" fillId="0" borderId="0" xfId="0" applyNumberFormat="1" applyFont="1" applyFill="1" applyBorder="1"/>
    <x:xf numFmtId="206" fontId="8" fillId="0" borderId="0" xfId="0" applyNumberFormat="1" applyFont="1" applyFill="1" applyBorder="1"/>
    <x:xf numFmtId="208" fontId="8" fillId="0" borderId="0" xfId="0" applyNumberFormat="1" applyFont="1" applyFill="1" applyBorder="1"/>
    <x:xf numFmtId="213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vertical="center"/>
    </x:xf>
    <x:xf numFmtId="207" fontId="8" fillId="0" borderId="0" xfId="0" applyNumberFormat="1" applyFont="1" applyFill="1" applyBorder="1" applyAlignment="1">
      <x:alignment vertical="center"/>
    </x:xf>
    <x:xf numFmtId="212" fontId="13" fillId="0" borderId="0" xfId="0" applyNumberFormat="1" applyFont="1" applyFill="1" applyBorder="1" applyAlignment="1">
      <x:alignment vertical="center" wrapText="1"/>
    </x:xf>
    <x:xf numFmtId="208" fontId="1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3d16f2301434d" /><Relationship Type="http://schemas.openxmlformats.org/officeDocument/2006/relationships/theme" Target="/xl/theme/theme1.xml" Id="R2a316815588a4bd9" /><Relationship Type="http://schemas.openxmlformats.org/officeDocument/2006/relationships/sharedStrings" Target="/xl/sharedStrings.xml" Id="R6c4de787023448e2" /><Relationship Type="http://schemas.openxmlformats.org/officeDocument/2006/relationships/worksheet" Target="/xl/worksheets/sheet1.xml" Id="Rd003013e92124893" /><Relationship Type="http://schemas.openxmlformats.org/officeDocument/2006/relationships/worksheet" Target="/xl/worksheets/sheet2.xml" Id="Ra6ff84a9f89c41ba" /><Relationship Type="http://schemas.openxmlformats.org/officeDocument/2006/relationships/worksheet" Target="/xl/worksheets/sheet3.xml" Id="Ref2912d9317b4343" /><Relationship Type="http://schemas.openxmlformats.org/officeDocument/2006/relationships/worksheet" Target="/xl/worksheets/sheet4.xml" Id="R666a46fba9dc42ee" /><Relationship Type="http://schemas.openxmlformats.org/officeDocument/2006/relationships/worksheet" Target="/xl/worksheets/sheet5.xml" Id="R2f5450d696d94dbc" /><Relationship Type="http://schemas.openxmlformats.org/officeDocument/2006/relationships/worksheet" Target="/xl/worksheets/sheet6.xml" Id="Rec0b1ffb200a4ba8" /><Relationship Type="http://schemas.openxmlformats.org/officeDocument/2006/relationships/worksheet" Target="/xl/worksheets/sheet7.xml" Id="R3b783367640640ff" /><Relationship Type="http://schemas.openxmlformats.org/officeDocument/2006/relationships/worksheet" Target="/xl/worksheets/sheet8.xml" Id="R2dd1f02efd9641c6" /><Relationship Type="http://schemas.openxmlformats.org/officeDocument/2006/relationships/worksheet" Target="/xl/worksheets/sheet9.xml" Id="R52d6c0e907774e54" /><Relationship Type="http://schemas.openxmlformats.org/officeDocument/2006/relationships/worksheet" Target="/xl/worksheets/sheet10.xml" Id="R5ddb49ae3fb74f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5d2f7048bc43a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7a307b557b64c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Aratu Naphtha: Completed vs Live / Forward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Completed kt</c:v>
          </c:tx>
          <c:cat>
            <c:strRef>
              <c:f>'Dashboard'!$H$6:$H$8</c:f>
              <c:strCache>
                <c:ptCount val="0"/>
              </c:strCache>
            </c:strRef>
          </c:cat>
          <c:val>
            <c:numRef>
              <c:f>'Dashboard'!$I$6:$I$8</c:f>
              <c:numCache>
                <c:formatCode>0.0;[Red](0.0);-</c:formatCode>
                <c:ptCount val="0"/>
              </c:numCache>
            </c:numRef>
          </c:val>
        </c:ser>
        <c:ser>
          <c:idx val="1"/>
          <c:order val="1"/>
          <c:tx>
            <c:v>Live / Forward kt</c:v>
          </c:tx>
          <c:cat>
            <c:strRef>
              <c:f>'Dashboard'!$H$6:$H$8</c:f>
              <c:strCache>
                <c:ptCount val="0"/>
              </c:strCache>
            </c:strRef>
          </c:cat>
          <c:val>
            <c:numRef>
              <c:f>'Dashboard'!$J$6:$J$8</c:f>
              <c:numCache>
                <c:formatCode>0.0;[Red](0.0);-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Brazil Naphtha Imports — 2026 YTD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ANP Brazil Naphtha Imports (m³)</c:v>
          </c:tx>
          <c:marker>
            <c:symbol val="none"/>
          </c:marker>
          <c:cat>
            <c:strRef>
              <c:f>'2026 Reconstruction'!$A$13:$A$19</c:f>
              <c:strCache>
                <c:ptCount val="0"/>
              </c:strCache>
            </c:strRef>
          </c:cat>
          <c:val>
            <c:numRef>
              <c:f>'2026 Reconstruction'!$B$13:$B$19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5d2f7048bc43a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28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a307b557b64c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rivalsTable" displayName="ArrivalsTable" ref="A2:P8" headerRowCount="1" totalsRowCount="0" totalsRowShown="0">
  <x:tableColumns count="16">
    <x:tableColumn id="1" name="ETB / Arrival Date"/>
    <x:tableColumn id="2" name="Vessel"/>
    <x:tableColumn id="3" name="Port / Terminal"/>
    <x:tableColumn id="4" name="Status"/>
    <x:tableColumn id="5" name="Cargo"/>
    <x:tableColumn id="6" name="Quantity (kg)"/>
    <x:tableColumn id="7" name="Quantity (kt)"/>
    <x:tableColumn id="8" name="Operator"/>
    <x:tableColumn id="9" name="Braskem Confirmed?"/>
    <x:tableColumn id="10" name="Fleet Type"/>
    <x:tableColumn id="11" name="ETA"/>
    <x:tableColumn id="12" name="ETD"/>
    <x:tableColumn id="13" name="Evidence Tier"/>
    <x:tableColumn id="14" name="Source URL"/>
    <x:tableColumn id="15" name="Source As-of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xtureEvidenceTable" displayName="FixtureEvidenceTable" ref="A2:L7" headerRowCount="1" totalsRowCount="0" totalsRowShown="0">
  <x:tableColumns count="12">
    <x:tableColumn id="1" name="Fixture / Load Date"/>
    <x:tableColumn id="2" name="Vessel"/>
    <x:tableColumn id="3" name="Size (kt)"/>
    <x:tableColumn id="4" name="Product"/>
    <x:tableColumn id="5" name="Route"/>
    <x:tableColumn id="6" name="Charterer"/>
    <x:tableColumn id="7" name="Evidence Type"/>
    <x:tableColumn id="8" name="Year"/>
    <x:tableColumn id="9" name="Future Fleet?"/>
    <x:tableColumn id="10" name="Source URL"/>
    <x:tableColumn id="11" name="Confidence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c9aaa8ca584c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0c4af3316642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3d2a85f71a4c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db4a60f88c51457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4" hidden="0" customWidth="1"/>
    <x:col min="4" max="4" width="38" hidden="0" customWidth="1"/>
    <x:col min="5" max="5" width="18" hidden="0" customWidth="1"/>
    <x:col min="6" max="6" width="34" hidden="0" customWidth="1"/>
    <x:col min="7" max="7" width="3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6" customHeight="1">
      <x:c r="A1" s="4" t="str">
        <x:v>Braskem Naphtha Arrival Monitor</x:v>
      </x:c>
      <x:c r="B1" s="4"/>
      <x:c r="C1" s="4"/>
      <x:c r="D1" s="4"/>
      <x:c r="E1" s="4"/>
      <x:c r="F1" s="4"/>
      <x:c r="G1" s="4"/>
      <x:c r="H1" s="4"/>
      <x:c r="I1" s="4"/>
      <x:c r="J1" s="4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13" t="str">
        <x:v>As of 01-Oct-2026 | Customs and ANP imports through August. Port quantities are planned until discharge is confirmed.</x:v>
      </x:c>
      <x:c r="B2" s="113"/>
      <x:c r="C2" s="113"/>
      <x:c r="D2" s="113"/>
      <x:c r="E2" s="113"/>
      <x:c r="F2" s="113"/>
      <x:c r="G2" s="113"/>
      <x:c r="H2" s="113"/>
      <x:c r="I2" s="113"/>
      <x:c r="J2" s="113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36"/>
      <x:c r="B3" s="136"/>
      <x:c r="C3" s="136"/>
      <x:c r="D3" s="136"/>
      <x:c r="E3" s="136"/>
      <x:c r="F3" s="136"/>
      <x:c r="G3" s="136"/>
      <x:c r="H3" s="136"/>
      <x:c r="I3" s="136"/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37" t="str">
        <x:v>Aratu snapshot — retained August completions and current queue</x:v>
      </x:c>
      <x:c r="B4" s="137"/>
      <x:c r="C4" s="137"/>
      <x:c r="D4" s="137"/>
      <x:c r="E4" s="137"/>
      <x:c r="F4" s="137"/>
      <x:c r="G4" s="137"/>
      <x:c r="H4" s="137"/>
      <x:c r="I4" s="137"/>
      <x:c r="J4" s="137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" t="str">
        <x:v>Metric</x:v>
      </x:c>
      <x:c r="B5" s="12" t="str">
        <x:v>Value</x:v>
      </x:c>
      <x:c r="C5" s="136"/>
      <x:c r="D5" s="12" t="str">
        <x:v>Thesis Read</x:v>
      </x:c>
      <x:c r="E5" s="12" t="str">
        <x:v>Current Evidence</x:v>
      </x:c>
      <x:c r="F5" s="12" t="str">
        <x:v>Interpretation</x:v>
      </x:c>
      <x:c r="G5" s="136"/>
      <x:c r="H5" s="284" t="str">
        <x:v>Category</x:v>
      </x:c>
      <x:c r="I5" s="284" t="str">
        <x:v>Aug completed kt</x:v>
      </x:c>
      <x:c r="J5" s="284" t="str">
        <x:v>Current queue kt</x:v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36" t="str">
        <x:v>Completed naphtha — Aug 2026 (kt)</x:v>
      </x:c>
      <x:c r="B6" s="114" t="n">
        <x:f>SUMIFS(Arrivals!$G$3:$G$1000,Arrivals!$D$3:$D$1000,"Completed",Arrivals!$A$3:$A$1000,"&gt;="&amp;DATE(2026,8,1),Arrivals!$A$3:$A$1000,"&lt;"&amp;DATE(2026,9,1))</x:f>
        <x:v>204.05525300925925</x:v>
      </x:c>
      <x:c r="C6" s="136"/>
      <x:c r="D6" s="283" t="str">
        <x:v>Future + third-party coexistence</x:v>
      </x:c>
      <x:c r="E6" s="116" t="str">
        <x:v>YES — queue</x:v>
      </x:c>
      <x:c r="F6" s="116" t="str">
        <x:v>Does not establish incremental imports</x:v>
      </x:c>
      <x:c r="G6" s="136"/>
      <x:c r="H6" s="136" t="str">
        <x:v>Future LR1</x:v>
      </x:c>
      <x:c r="I6" s="285" t="n">
        <x:v>55.245144</x:v>
      </x:c>
      <x:c r="J6" s="285" t="n">
        <x:f>SUMIFS(Arrivals!$G$11:$G$15,Arrivals!$J$11:$J$15,H6)</x:f>
        <x:v>84.61710099999999</x:v>
      </x:c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36" t="str">
        <x:v>Future LR1 completed (kt)</x:v>
      </x:c>
      <x:c r="B7" s="114" t="n">
        <x:f>SUMIFS(Arrivals!$G$3:$G$1000,Arrivals!$D$3:$D$1000,"Completed",Arrivals!$J$3:$J$1000,"Future LR1",Arrivals!$A$3:$A$1000,"&gt;="&amp;DATE(2026,8,1),Arrivals!$A$3:$A$1000,"&lt;"&amp;DATE(2026,9,1))</x:f>
        <x:v>55.24514400462963</x:v>
      </x:c>
      <x:c r="C7" s="136"/>
      <x:c r="D7" s="283" t="str">
        <x:v>Beautiful Future</x:v>
      </x:c>
      <x:c r="E7" s="116" t="str">
        <x:v>56.6 kt LIVE</x:v>
      </x:c>
      <x:c r="F7" s="116" t="str">
        <x:v>Berthed Sep-26; ETD Oct-1</x:v>
      </x:c>
      <x:c r="G7" s="136"/>
      <x:c r="H7" s="136" t="str">
        <x:v>Third-party</x:v>
      </x:c>
      <x:c r="I7" s="285" t="n">
        <x:v>148.810109</x:v>
      </x:c>
      <x:c r="J7" s="285" t="n">
        <x:f>SUMIFS(Arrivals!$G$11:$G$15,Arrivals!$J$11:$J$15,H7)</x:f>
        <x:v>61.697355</x:v>
      </x:c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36" t="str">
        <x:v>Third-party completed (kt)</x:v>
      </x:c>
      <x:c r="B8" s="114" t="n">
        <x:f>SUMIFS(Arrivals!$G$3:$G$1000,Arrivals!$D$3:$D$1000,"Completed",Arrivals!$J$3:$J$1000,"Third-party",Arrivals!$A$3:$A$1000,"&gt;="&amp;DATE(2026,8,1),Arrivals!$A$3:$A$1000,"&lt;"&amp;DATE(2026,9,1))</x:f>
        <x:v>148.81010900462962</x:v>
      </x:c>
      <x:c r="C8" s="136"/>
      <x:c r="D8" s="283" t="str">
        <x:v>Blooming Future</x:v>
      </x:c>
      <x:c r="E8" s="116" t="str">
        <x:v>28.0 kt scheduled</x:v>
      </x:c>
      <x:c r="F8" s="116" t="str">
        <x:v>ETB Oct-3; Braskem confirmed</x:v>
      </x:c>
      <x:c r="G8" s="136"/>
      <x:c r="H8" s="136" t="str">
        <x:v>TBD: 1 call</x:v>
      </x:c>
      <x:c r="I8" s="285" t="n">
        <x:v>0</x:v>
      </x:c>
      <x:c r="J8" s="285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36" t="str">
        <x:v>Current live / forward known (kt)</x:v>
      </x:c>
      <x:c r="B9" s="114" t="n">
        <x:f>SUM(Arrivals!G11:G15)</x:f>
        <x:v>146.31445599999998</x:v>
      </x:c>
      <x:c r="C9" s="136"/>
      <x:c r="D9" s="283" t="str">
        <x:v>Third-party forward</x:v>
      </x:c>
      <x:c r="E9" s="116" t="str">
        <x:v>61.7 kt + 1 TBD</x:v>
      </x:c>
      <x:c r="F9" s="116" t="str">
        <x:v>Cedar / Pine anchored; Baiacu TBD</x:v>
      </x:c>
      <x:c r="G9" s="136"/>
      <x:c r="H9" s="136"/>
      <x:c r="I9" s="136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36" t="str">
        <x:v>Future share of completed</x:v>
      </x:c>
      <x:c r="B10" s="118" t="n">
        <x:f>IFERROR(B7/B6,0)</x:f>
        <x:v>0.2707362010425676</x:v>
      </x:c>
      <x:c r="C10" s="136"/>
      <x:c r="D10" s="283" t="str">
        <x:v>Importer-level coverage</x:v>
      </x:c>
      <x:c r="E10" s="116" t="str">
        <x:v>JAN–AUG LOADED</x:v>
      </x:c>
      <x:c r="F10" s="116" t="str">
        <x:v>Braskem August clearances +35.8% MoM</x:v>
      </x:c>
      <x:c r="G10" s="136"/>
      <x:c r="H10" s="136"/>
      <x:c r="I10" s="136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36"/>
      <x:c r="B11" s="136"/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7" t="str">
        <x:v>Interpretation Framework</x:v>
      </x:c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2" t="str">
        <x:v>Signal</x:v>
      </x:c>
      <x:c r="B13" s="12" t="str">
        <x:v>Future LR1 tonnes</x:v>
      </x:c>
      <x:c r="C13" s="12" t="str">
        <x:v>Third-party tonnes</x:v>
      </x:c>
      <x:c r="D13" s="12" t="str">
        <x:v>Read-through</x:v>
      </x:c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19" t="str">
        <x:v>Additive</x:v>
      </x:c>
      <x:c r="B14" s="119" t="str">
        <x:v>Rising</x:v>
      </x:c>
      <x:c r="C14" s="119" t="str">
        <x:v>Stable / rising</x:v>
      </x:c>
      <x:c r="D14" s="119" t="str">
        <x:v>Strongest evidence dedicated fleet expands total imports</x:v>
      </x:c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20" t="str">
        <x:v>Substitutive</x:v>
      </x:c>
      <x:c r="B15" s="120" t="str">
        <x:v>Rising</x:v>
      </x:c>
      <x:c r="C15" s="120" t="str">
        <x:v>Falling ~1-for-1</x:v>
      </x:c>
      <x:c r="D15" s="120" t="str">
        <x:v>Dedicated vessels primarily replace spot/third-party liftings</x:v>
      </x:c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21" t="str">
        <x:v>Mixed</x:v>
      </x:c>
      <x:c r="B16" s="121" t="str">
        <x:v>Rising</x:v>
      </x:c>
      <x:c r="C16" s="121" t="str">
        <x:v>Partly lower</x:v>
      </x:c>
      <x:c r="D16" s="121" t="str">
        <x:v>Some logistics substitution + some incremental feedstock optionality</x:v>
      </x:c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7" t="str">
        <x:v>Near-Forward Watchlist</x:v>
      </x:c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2" t="str">
        <x:v>Date</x:v>
      </x:c>
      <x:c r="B19" s="12" t="str">
        <x:v>Vessel</x:v>
      </x:c>
      <x:c r="C19" s="12" t="str">
        <x:v>Type</x:v>
      </x:c>
      <x:c r="D19" s="12" t="str">
        <x:v>Quantity (kt)</x:v>
      </x:c>
      <x:c r="E19" s="12" t="str">
        <x:v>Operator</x:v>
      </x:c>
      <x:c r="F19" s="12" t="str">
        <x:v>What matters</x:v>
      </x:c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22" t="n">
        <x:f>Arrivals!A11</x:f>
        <x:v>46291</x:v>
      </x:c>
      <x:c r="B20" s="116" t="str">
        <x:v>BEAUTIFUL FUTURE</x:v>
      </x:c>
      <x:c r="C20" s="116" t="str">
        <x:v>Future LR1</x:v>
      </x:c>
      <x:c r="D20" s="123" t="n">
        <x:f>Arrivals!G11</x:f>
        <x:v>56.617101</x:v>
      </x:c>
      <x:c r="E20" s="116" t="str">
        <x:v>Braskem</x:v>
      </x:c>
      <x:c r="F20" s="116" t="str">
        <x:v>Berthed; planned 56.6kt; completion pending.</x:v>
      </x:c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22" t="n">
        <x:f>Arrivals!A12</x:f>
        <x:v>46298</x:v>
      </x:c>
      <x:c r="B21" s="116" t="str">
        <x:v>BLOOMING FUTURE</x:v>
      </x:c>
      <x:c r="C21" s="116" t="str">
        <x:v>Future LR1</x:v>
      </x:c>
      <x:c r="D21" s="123" t="n">
        <x:f>Arrivals!G12</x:f>
        <x:v>28</x:v>
      </x:c>
      <x:c r="E21" s="116" t="str">
        <x:v>Braskem</x:v>
      </x:c>
      <x:c r="F21" s="116" t="str">
        <x:v>Scheduled arrival; quantity not completed.</x:v>
      </x:c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22" t="n">
        <x:f>Arrivals!A13</x:f>
        <x:v>46300</x:v>
      </x:c>
      <x:c r="B22" s="116" t="str">
        <x:v>CEDAR EXPRESS</x:v>
      </x:c>
      <x:c r="C22" s="116" t="str">
        <x:v>Third-party</x:v>
      </x:c>
      <x:c r="D22" s="123" t="n">
        <x:f>Arrivals!G13</x:f>
        <x:v>34.097355</x:v>
      </x:c>
      <x:c r="E22" s="116" t="str">
        <x:v>Braskem</x:v>
      </x:c>
      <x:c r="F22" s="116" t="str">
        <x:v>Anchored; Pine Olia 27.6kt also anchored.</x:v>
      </x:c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233" t="str">
        <x:v>Braskem petrochemical naphtha customs clearances — actual tonnes</x:v>
      </x:c>
      <x:c r="B24" s="233"/>
      <x:c r="C24" s="233"/>
      <x:c r="D24" s="233"/>
      <x:c r="E24" s="233"/>
      <x:c r="F24" s="233"/>
      <x:c r="G24" s="233"/>
      <x:c r="H24" s="233"/>
      <x:c r="I24" s="233"/>
      <x:c r="J24" s="233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284" t="str">
        <x:v>Metric</x:v>
      </x:c>
      <x:c r="B25" s="284" t="str">
        <x:v>Result</x:v>
      </x:c>
      <x:c r="C25" s="284" t="str">
        <x:v>Read-through</x:v>
      </x:c>
      <x:c r="D25" s="284" t="str">
        <x:v>Source / Caveat</x:v>
      </x:c>
      <x:c r="E25" s="136" t="str"/>
      <x:c r="F25" s="136" t="str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76" t="str">
        <x:v>Q1 monthly average (kt)</x:v>
      </x:c>
      <x:c r="B26" s="313" t="n">
        <x:f>'Customs Imports'!B14</x:f>
        <x:v>303.94541533333336</x:v>
      </x:c>
      <x:c r="C26" s="176" t="str">
        <x:v>Pre-Q2 baseline</x:v>
      </x:c>
      <x:c r="D26" s="176" t="str">
        <x:v>NCM 27101241, Braskem importer</x:v>
      </x:c>
      <x:c r="E26" s="136" t="str"/>
      <x:c r="F26" s="136" t="str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76" t="str">
        <x:v>Q2 monthly average (kt)</x:v>
      </x:c>
      <x:c r="B27" s="313" t="n">
        <x:f>AVERAGE('Customs Imports'!B8:B10)</x:f>
        <x:v>169.1199776666667</x:v>
      </x:c>
      <x:c r="C27" s="176" t="str">
        <x:v>44.4% below Q1</x:v>
      </x:c>
      <x:c r="D27" s="176" t="str">
        <x:v>Clearance month; actual kg</x:v>
      </x:c>
      <x:c r="E27" s="136" t="str"/>
      <x:c r="F27" s="136" t="str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76" t="str">
        <x:v>July Braskem imports (kt)</x:v>
      </x:c>
      <x:c r="B28" s="313" t="n">
        <x:f>'Customs Imports'!B11</x:f>
        <x:v>176.993941</x:v>
      </x:c>
      <x:c r="C28" s="279" t="str">
        <x:v>Below Q1 run-rate</x:v>
      </x:c>
      <x:c r="D28" s="176" t="str">
        <x:v>National m³ series now through August</x:v>
      </x:c>
      <x:c r="E28" s="136" t="str"/>
      <x:c r="F28" s="136" t="str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76" t="str">
        <x:v>August Braskem imports (kt)</x:v>
      </x:c>
      <x:c r="B29" s="313" t="n">
        <x:f>'Customs Imports'!B12</x:f>
        <x:v>240.39366327599998</x:v>
      </x:c>
      <x:c r="C29" s="176" t="str">
        <x:v>Up 35.8% MoM</x:v>
      </x:c>
      <x:c r="D29" s="176" t="str">
        <x:v>20.9% below Q1 monthly average</x:v>
      </x:c>
      <x:c r="E29" s="136" t="str"/>
      <x:c r="F29" s="136" t="str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76" t="str">
        <x:v>Jun–Aug annualized (Mt)</x:v>
      </x:c>
      <x:c r="B30" s="314" t="n">
        <x:f>'Customs Imports'!I12</x:f>
        <x:v>2.492718037104</x:v>
      </x:c>
      <x:c r="C30" s="153" t="str">
        <x:v>Recovery from May trough</x:v>
      </x:c>
      <x:c r="D30" s="176" t="str">
        <x:v>No density assumption required</x:v>
      </x:c>
      <x:c r="E30" s="136" t="str"/>
      <x:c r="F30" s="136" t="str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76" t="str">
        <x:v>Current thesis status</x:v>
      </x:c>
      <x:c r="B31" s="291" t="str">
        <x:v>RECOVERING / UNPROVEN</x:v>
      </x:c>
      <x:c r="C31" s="291" t="str">
        <x:v>Higher August imports; fleet causality unproven</x:v>
      </x:c>
      <x:c r="D31" s="176" t="str">
        <x:v>Customs, port receipts and schedules are separate</x:v>
      </x:c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293" t="str">
        <x:v>Interpretation as of October 1</x:v>
      </x:c>
      <x:c r="B33" s="293"/>
      <x:c r="C33" s="293"/>
      <x:c r="D33" s="293"/>
      <x:c r="E33" s="293"/>
      <x:c r="F33" s="293"/>
      <x:c r="G33" s="293"/>
      <x:c r="H33" s="293"/>
      <x:c r="I33" s="293"/>
      <x:c r="J33" s="293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 ht="21" customHeight="1">
      <x:c r="A34" s="296" t="str">
        <x:v>Braskem August customs imports remain 240.4kt, up 35.8% MoM. Updated national ANP August imports are 343,384.6 m³, up 35.8% MoM; June–August annualized imports are 2.60Mt at 0.73 t/m³. Aratu known planned cargo totals 146.3kt: Future fleet 84.6kt and third-party 61.7kt, plus Baiacu TBD. Beautiful Future remains listed as berthed; discharge completion is unverified. September vessel history is incomplete; fleet causality remains unproven.</x:v>
      </x:c>
      <x:c r="B34" s="296"/>
      <x:c r="C34" s="296"/>
      <x:c r="D34" s="296"/>
      <x:c r="E34" s="296"/>
      <x:c r="F34" s="296"/>
      <x:c r="G34" s="296"/>
      <x:c r="H34" s="296"/>
      <x:c r="I34" s="296"/>
      <x:c r="J34" s="29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 ht="21" customHeight="1">
      <x:c r="A35" s="296"/>
      <x:c r="B35" s="296"/>
      <x:c r="C35" s="296"/>
      <x:c r="D35" s="296"/>
      <x:c r="E35" s="296"/>
      <x:c r="F35" s="296"/>
      <x:c r="G35" s="296"/>
      <x:c r="H35" s="296"/>
      <x:c r="I35" s="296"/>
      <x:c r="J35" s="29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 ht="21" customHeight="1">
      <x:c r="A36" s="296"/>
      <x:c r="B36" s="296"/>
      <x:c r="C36" s="296"/>
      <x:c r="D36" s="296"/>
      <x:c r="E36" s="296"/>
      <x:c r="F36" s="296"/>
      <x:c r="G36" s="296"/>
      <x:c r="H36" s="296"/>
      <x:c r="I36" s="296"/>
      <x:c r="J36" s="29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 ht="21" customHeight="1">
      <x:c r="A37" s="296"/>
      <x:c r="B37" s="296"/>
      <x:c r="C37" s="296"/>
      <x:c r="D37" s="296"/>
      <x:c r="E37" s="296"/>
      <x:c r="F37" s="296"/>
      <x:c r="G37" s="296"/>
      <x:c r="H37" s="296"/>
      <x:c r="I37" s="296"/>
      <x:c r="J37" s="29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 ht="21" customHeight="1">
      <x:c r="A38" s="296"/>
      <x:c r="B38" s="296"/>
      <x:c r="C38" s="296"/>
      <x:c r="D38" s="296"/>
      <x:c r="E38" s="296"/>
      <x:c r="F38" s="296"/>
      <x:c r="G38" s="296"/>
      <x:c r="H38" s="296"/>
      <x:c r="I38" s="296"/>
      <x:c r="J38" s="29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  <x:mergeCell ref="A2:J2"/>
    <x:mergeCell ref="A4:J4"/>
    <x:mergeCell ref="A12:J12"/>
    <x:mergeCell ref="A18:J18"/>
    <x:mergeCell ref="A24:J24"/>
    <x:mergeCell ref="A33:J33"/>
    <x:mergeCell ref="A34:J38"/>
  </x:mergeCells>
  <x:conditionalFormatting sqref="D6:F6">
    <x:cfRule type="expression" dxfId="5" priority="1">
      <x:formula>$E6="YES"</x:formula>
    </x:cfRule>
  </x:conditionalFormatting>
  <x:pageMargins left="0.7" right="0.7" top="0.75" bottom="0.75" header="0.3" footer="0.3"/>
  <x:drawing xmlns:r="http://schemas.openxmlformats.org/officeDocument/2006/relationships" r:id="Rc9c9aaa8ca584cb8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19" hidden="0" customWidth="1"/>
    <x:col min="5" max="5" width="12" hidden="0" customWidth="1"/>
    <x:col min="6" max="6" width="14" hidden="0" customWidth="1"/>
    <x:col min="7" max="7" width="14" hidden="0" customWidth="1"/>
    <x:col min="8" max="8" width="19" hidden="0" customWidth="1"/>
    <x:col min="9" max="9" width="16" hidden="0" customWidth="1"/>
    <x:col min="10" max="10" width="15" hidden="0" customWidth="1"/>
    <x:col min="11" max="11" width="18" hidden="0" customWidth="1"/>
    <x:col min="12" max="12" width="18" hidden="0" customWidth="1"/>
    <x:col min="13" max="13" width="15" hidden="0" customWidth="1"/>
    <x:col min="14" max="14" width="40" hidden="0" customWidth="1"/>
    <x:col min="15" max="15" width="14" hidden="0" customWidth="1"/>
    <x:col min="16" max="16" width="42" hidden="0" customWidth="1"/>
  </x:cols>
  <x:sheetData>
    <x:row r="1" ht="26" customHeight="1">
      <x:c r="A1" s="4" t="str">
        <x:v>Braskem Naphtha Arrivals — Verified / Near-Forward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ETB / Arrival Date</x:v>
      </x:c>
      <x:c r="B2" s="12" t="str">
        <x:v>Vessel</x:v>
      </x:c>
      <x:c r="C2" s="12" t="str">
        <x:v>Port / Terminal</x:v>
      </x:c>
      <x:c r="D2" s="12" t="str">
        <x:v>Status</x:v>
      </x:c>
      <x:c r="E2" s="12" t="str">
        <x:v>Cargo</x:v>
      </x:c>
      <x:c r="F2" s="12" t="str">
        <x:v>Quantity (kg)</x:v>
      </x:c>
      <x:c r="G2" s="12" t="str">
        <x:v>Quantity (kt)</x:v>
      </x:c>
      <x:c r="H2" s="12" t="str">
        <x:v>Operator</x:v>
      </x:c>
      <x:c r="I2" s="12" t="str">
        <x:v>Braskem Confirmed?</x:v>
      </x:c>
      <x:c r="J2" s="12" t="str">
        <x:v>Fleet Type</x:v>
      </x:c>
      <x:c r="K2" s="12" t="str">
        <x:v>ETA</x:v>
      </x:c>
      <x:c r="L2" s="12" t="str">
        <x:v>ETD</x:v>
      </x:c>
      <x:c r="M2" s="12" t="str">
        <x:v>Evidence Tier</x:v>
      </x:c>
      <x:c r="N2" s="12" t="str">
        <x:v>Source URL</x:v>
      </x:c>
      <x:c r="O2" s="12" t="str">
        <x:v>Source As-of</x:v>
      </x:c>
      <x:c r="P2" s="12" t="str">
        <x:v>Notes</x:v>
      </x:c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22" t="n">
        <x:v>46239</x:v>
      </x:c>
      <x:c r="B3" s="116" t="str">
        <x:v>BARRACUDA</x:v>
      </x:c>
      <x:c r="C3" s="116" t="str">
        <x:v>Aratu / TPG</x:v>
      </x:c>
      <x:c r="D3" s="116" t="str">
        <x:v>Completed</x:v>
      </x:c>
      <x:c r="E3" s="116" t="str">
        <x:v>Naphtha</x:v>
      </x:c>
      <x:c r="F3" s="168" t="n">
        <x:v>56789231</x:v>
      </x:c>
      <x:c r="G3" s="169" t="n">
        <x:f>F3/1000000</x:f>
        <x:v>56.789231</x:v>
      </x:c>
      <x:c r="H3" s="116" t="str">
        <x:v>BRASKEM S.A.</x:v>
      </x:c>
      <x:c r="I3" s="116" t="str">
        <x:v>Yes</x:v>
      </x:c>
      <x:c r="J3" s="116" t="str">
        <x:v>Third-party</x:v>
      </x:c>
      <x:c r="K3" s="170"/>
      <x:c r="L3" s="170" t="n">
        <x:v>46241</x:v>
      </x:c>
      <x:c r="M3" s="116" t="str">
        <x:v>Tier 1</x:v>
      </x:c>
      <x:c r="N3" s="171" t="str">
        <x:v>https://codeba.gov.br/eficiente/sites/portalcodeba/pt-br/porto_aratu.php?secao=tportos_aratu</x:v>
      </x:c>
      <x:c r="O3" s="122" t="n">
        <x:v>46259</x:v>
      </x:c>
      <x:c r="P3" s="116" t="str">
        <x:v>CODEBA historical search snapshot; completed discharge.</x:v>
      </x:c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22" t="n">
        <x:v>46245</x:v>
      </x:c>
      <x:c r="B4" s="116" t="str">
        <x:v>BEAUTIFUL FUTURE</x:v>
      </x:c>
      <x:c r="C4" s="116" t="str">
        <x:v>Aratu / TPG</x:v>
      </x:c>
      <x:c r="D4" s="116" t="str">
        <x:v>Completed</x:v>
      </x:c>
      <x:c r="E4" s="116" t="str">
        <x:v>Naphtha</x:v>
      </x:c>
      <x:c r="F4" s="168" t="n">
        <x:v>55245144</x:v>
      </x:c>
      <x:c r="G4" s="169" t="n">
        <x:f>F4/1000000</x:f>
        <x:v>55.245144</x:v>
      </x:c>
      <x:c r="H4" s="116" t="str">
        <x:v>BRASKEM S.A.</x:v>
      </x:c>
      <x:c r="I4" s="116" t="str">
        <x:v>Yes</x:v>
      </x:c>
      <x:c r="J4" s="116" t="str">
        <x:v>Future LR1</x:v>
      </x:c>
      <x:c r="K4" s="170"/>
      <x:c r="L4" s="170" t="n">
        <x:v>46247</x:v>
      </x:c>
      <x:c r="M4" s="116" t="str">
        <x:v>Tier 1</x:v>
      </x:c>
      <x:c r="N4" s="171" t="str">
        <x:v>https://codeba.gov.br/eficiente/sites/portalcodeba/pt-br/porto_aratu.php?secao=tportos_aratu</x:v>
      </x:c>
      <x:c r="O4" s="122" t="n">
        <x:v>46259</x:v>
      </x:c>
      <x:c r="P4" s="116" t="str">
        <x:v>First verified Brazilian discharge by dedicated Future fleet.</x:v>
      </x:c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2" t="n">
        <x:v>46250</x:v>
      </x:c>
      <x:c r="B5" s="116" t="str">
        <x:v>PACIFIC JASPER</x:v>
      </x:c>
      <x:c r="C5" s="116" t="str">
        <x:v>Aratu / TPG</x:v>
      </x:c>
      <x:c r="D5" s="116" t="str">
        <x:v>Completed</x:v>
      </x:c>
      <x:c r="E5" s="116" t="str">
        <x:v>Naphtha</x:v>
      </x:c>
      <x:c r="F5" s="168" t="n">
        <x:v>36000000</x:v>
      </x:c>
      <x:c r="G5" s="169" t="n">
        <x:f>F5/1000000</x:f>
        <x:v>36</x:v>
      </x:c>
      <x:c r="H5" s="116" t="str">
        <x:v>BRASKEM S.A.</x:v>
      </x:c>
      <x:c r="I5" s="116" t="str">
        <x:v>Yes</x:v>
      </x:c>
      <x:c r="J5" s="116" t="str">
        <x:v>Third-party</x:v>
      </x:c>
      <x:c r="K5" s="170"/>
      <x:c r="L5" s="170" t="n">
        <x:v>46251</x:v>
      </x:c>
      <x:c r="M5" s="116" t="str">
        <x:v>Tier 1</x:v>
      </x:c>
      <x:c r="N5" s="171" t="str">
        <x:v>https://codeba.gov.br/eficiente/sites/portalcodeba/pt-br/porto_aratu.php?secao=tportos_aratu</x:v>
      </x:c>
      <x:c r="O5" s="122" t="n">
        <x:v>46259</x:v>
      </x:c>
      <x:c r="P5" s="116" t="str">
        <x:v>Third-party tanker discharge after Beautiful Future.</x:v>
      </x:c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22" t="n">
        <x:v>46257</x:v>
      </x:c>
      <x:c r="B6" s="116" t="str">
        <x:v>BAIACU</x:v>
      </x:c>
      <x:c r="C6" s="116" t="str">
        <x:v>Aratu / TPG</x:v>
      </x:c>
      <x:c r="D6" s="116" t="str">
        <x:v>Completed</x:v>
      </x:c>
      <x:c r="E6" s="116" t="str">
        <x:v>Naphtha</x:v>
      </x:c>
      <x:c r="F6" s="168" t="n">
        <x:v>56020878</x:v>
      </x:c>
      <x:c r="G6" s="169" t="n">
        <x:f>F6/1000000</x:f>
        <x:v>56.020878</x:v>
      </x:c>
      <x:c r="H6" s="116" t="str">
        <x:v>BRASKEM S.A.</x:v>
      </x:c>
      <x:c r="I6" s="116" t="str">
        <x:v>Yes</x:v>
      </x:c>
      <x:c r="J6" s="116" t="str">
        <x:v>Third-party</x:v>
      </x:c>
      <x:c r="K6" s="170"/>
      <x:c r="L6" s="170" t="n">
        <x:v>46259</x:v>
      </x:c>
      <x:c r="M6" s="116" t="str">
        <x:v>Tier 1</x:v>
      </x:c>
      <x:c r="N6" s="171" t="str">
        <x:v>https://codeba.gov.br/eficiente/sites/portalcodeba/pt-br/porto_aratu.php?secao=tportos_aratu</x:v>
      </x:c>
      <x:c r="O6" s="122" t="n">
        <x:v>46259</x:v>
      </x:c>
      <x:c r="P6" s="116" t="str">
        <x:v>Third-party tanker discharge after Beautiful Future.</x:v>
      </x:c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22" t="n">
        <x:v>46270</x:v>
      </x:c>
      <x:c r="B7" s="116" t="str">
        <x:v>PINE OLIA</x:v>
      </x:c>
      <x:c r="C7" s="116" t="str">
        <x:v>Aratu / TPG</x:v>
      </x:c>
      <x:c r="D7" s="116" t="str">
        <x:v>Historical schedule / unresolved</x:v>
      </x:c>
      <x:c r="E7" s="116" t="str">
        <x:v>Naphtha</x:v>
      </x:c>
      <x:c r="F7" s="168" t="n">
        <x:v>27000000</x:v>
      </x:c>
      <x:c r="G7" s="169" t="n">
        <x:f>F7/1000000</x:f>
        <x:v>27</x:v>
      </x:c>
      <x:c r="H7" s="116" t="str">
        <x:v>BRASKEM S.A.</x:v>
      </x:c>
      <x:c r="I7" s="116" t="str">
        <x:v>Yes</x:v>
      </x:c>
      <x:c r="J7" s="116" t="str">
        <x:v>Third-party</x:v>
      </x:c>
      <x:c r="K7" s="170" t="n">
        <x:v>46266.5</x:v>
      </x:c>
      <x:c r="L7" s="170" t="n">
        <x:v>46271</x:v>
      </x:c>
      <x:c r="M7" s="116" t="str">
        <x:v>Prior schedule; completion unverified</x:v>
      </x:c>
      <x:c r="N7" s="171" t="str">
        <x:v>https://codeba.gov.br/eficiente/sites/portalcodeba/pt-br/porto_aratu.php?secao=tportos_aratu</x:v>
      </x:c>
      <x:c r="O7" s="122" t="n">
        <x:v>46267</x:v>
      </x:c>
      <x:c r="P7" s="116" t="str">
        <x:v>Updated Sep-2 CODEBA schedule: Braskem now confirmed as operator; ETB Sep-5. Checked Sep-28: no longer on current schedule; disappearance does not confirm discharge.</x:v>
      </x:c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22" t="n">
        <x:v>46265</x:v>
      </x:c>
      <x:c r="B8" s="116" t="str">
        <x:v>TORM AUSTRALIA</x:v>
      </x:c>
      <x:c r="C8" s="116" t="str">
        <x:v>Aratu / TPG</x:v>
      </x:c>
      <x:c r="D8" s="116" t="str">
        <x:v>Historical schedule / unresolved</x:v>
      </x:c>
      <x:c r="E8" s="116" t="str">
        <x:v>Naphtha</x:v>
      </x:c>
      <x:c r="F8" s="168" t="n">
        <x:v>36369299</x:v>
      </x:c>
      <x:c r="G8" s="169" t="n">
        <x:f>F8/1000000</x:f>
        <x:v>36.369299</x:v>
      </x:c>
      <x:c r="H8" s="116" t="str">
        <x:v>BRASKEM S.A.</x:v>
      </x:c>
      <x:c r="I8" s="116" t="str">
        <x:v>Yes</x:v>
      </x:c>
      <x:c r="J8" s="116" t="str">
        <x:v>Third-party</x:v>
      </x:c>
      <x:c r="K8" s="170" t="n">
        <x:v>46258.433333333334</x:v>
      </x:c>
      <x:c r="L8" s="170" t="n">
        <x:v>46267</x:v>
      </x:c>
      <x:c r="M8" s="116" t="str">
        <x:v>Prior schedule; completion unverified</x:v>
      </x:c>
      <x:c r="N8" s="171" t="str">
        <x:v>https://codeba.gov.br/eficiente/sites/portalcodeba/pt-br/porto_aratu.php?secao=tportos_aratu</x:v>
      </x:c>
      <x:c r="O8" s="122" t="n">
        <x:v>46267</x:v>
      </x:c>
      <x:c r="P8" s="116" t="str">
        <x:v>CODEBA shows vessel berthed Aug-31 and discharging 36.369kt for Braskem; ETD Sep-2. Checked Sep-28: no longer on current schedule; disappearance does not confirm discharge.</x:v>
      </x:c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22" t="n">
        <x:v>46269</x:v>
      </x:c>
      <x:c r="B9" s="116" t="str">
        <x:v>BRIGHT FUTURE</x:v>
      </x:c>
      <x:c r="C9" s="116" t="str">
        <x:v>Aratu / TPG</x:v>
      </x:c>
      <x:c r="D9" s="116" t="str">
        <x:v>Historical schedule / unresolved</x:v>
      </x:c>
      <x:c r="E9" s="116" t="str">
        <x:v>Naphtha</x:v>
      </x:c>
      <x:c r="F9" s="168" t="n">
        <x:v>28000000</x:v>
      </x:c>
      <x:c r="G9" s="169" t="n">
        <x:f>F9/1000000</x:f>
        <x:v>28</x:v>
      </x:c>
      <x:c r="H9" s="116" t="str">
        <x:v>BRASKEM S.A.</x:v>
      </x:c>
      <x:c r="I9" s="116" t="str">
        <x:v>Yes</x:v>
      </x:c>
      <x:c r="J9" s="116" t="str">
        <x:v>Third-party</x:v>
      </x:c>
      <x:c r="K9" s="170" t="n">
        <x:v>46267.625</x:v>
      </x:c>
      <x:c r="L9" s="170" t="n">
        <x:v>46270</x:v>
      </x:c>
      <x:c r="M9" s="116" t="str">
        <x:v>Prior schedule; completion unverified</x:v>
      </x:c>
      <x:c r="N9" s="171" t="str">
        <x:v>https://codeba.gov.br/eficiente/sites/portalcodeba/pt-br/porto_aratu.php?secao=tportos_aratu</x:v>
      </x:c>
      <x:c r="O9" s="122" t="n">
        <x:v>46267</x:v>
      </x:c>
      <x:c r="P9" s="116" t="str">
        <x:v>New Sep-2 forward call. This is not one of Braskem's four Beautiful/Blooming/Blissful/Bold Future LR1s. Checked Sep-28: no longer on current schedule; disappearance does not confirm discharge.</x:v>
      </x:c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22" t="n">
        <x:v>46274</x:v>
      </x:c>
      <x:c r="B10" s="116" t="str">
        <x:v>TWEED</x:v>
      </x:c>
      <x:c r="C10" s="116" t="str">
        <x:v>Aratu / TPG</x:v>
      </x:c>
      <x:c r="D10" s="116" t="str">
        <x:v>Historical schedule / unresolved</x:v>
      </x:c>
      <x:c r="E10" s="116" t="str">
        <x:v>Naphtha</x:v>
      </x:c>
      <x:c r="F10" s="168"/>
      <x:c r="G10" s="169" t="str">
        <x:f>IF(F10="","",F10/1000000)</x:f>
      </x:c>
      <x:c r="H10" s="116" t="str">
        <x:v>BRASKEM S.A.</x:v>
      </x:c>
      <x:c r="I10" s="116" t="str">
        <x:v>Yes</x:v>
      </x:c>
      <x:c r="J10" s="116" t="str">
        <x:v>Third-party</x:v>
      </x:c>
      <x:c r="K10" s="170" t="n">
        <x:v>46271.5</x:v>
      </x:c>
      <x:c r="L10" s="170" t="n">
        <x:v>46275</x:v>
      </x:c>
      <x:c r="M10" s="116" t="str">
        <x:v>Prior schedule; completion unverified</x:v>
      </x:c>
      <x:c r="N10" s="171" t="str">
        <x:v>https://codeba.gov.br/eficiente/sites/portalcodeba/pt-br/porto_aratu.php?secao=tportos_aratu</x:v>
      </x:c>
      <x:c r="O10" s="122" t="n">
        <x:v>46267</x:v>
      </x:c>
      <x:c r="P10" s="116" t="str">
        <x:v>New forward naphtha call for Braskem. CODEBA currently reports cargo quantity as 0/TBD; excluded from tonnage totals. Checked Sep-28: no longer on current schedule; disappearance does not confirm discharge.</x:v>
      </x:c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40" t="n">
        <x:v>46291</x:v>
      </x:c>
      <x:c r="B11" s="141" t="str">
        <x:v>BEAUTIFUL FUTURE</x:v>
      </x:c>
      <x:c r="C11" s="141" t="str">
        <x:v>Aratu / TPG</x:v>
      </x:c>
      <x:c r="D11" s="141" t="str">
        <x:v>Berthed / Discharging</x:v>
      </x:c>
      <x:c r="E11" s="141" t="str">
        <x:v>Naphtha</x:v>
      </x:c>
      <x:c r="F11" s="162" t="n">
        <x:v>56617101</x:v>
      </x:c>
      <x:c r="G11" s="152" t="n">
        <x:f>IF(F11="","",F11/1000000)</x:f>
        <x:v>56.617101</x:v>
      </x:c>
      <x:c r="H11" s="141" t="str">
        <x:v>BRASKEM S.A.</x:v>
      </x:c>
      <x:c r="I11" s="141" t="str">
        <x:v>Yes</x:v>
      </x:c>
      <x:c r="J11" s="141" t="str">
        <x:v>Future LR1</x:v>
      </x:c>
      <x:c r="K11" s="140" t="n">
        <x:v>46289.5</x:v>
      </x:c>
      <x:c r="L11" s="140" t="n">
        <x:v>46296</x:v>
      </x:c>
      <x:c r="M11" s="141" t="str">
        <x:v>Tier 1 live</x:v>
      </x:c>
      <x:c r="N11" s="141" t="str">
        <x:v>https://codeba.gov.br/eficiente/sites/portalcodeba/pt-br/porto_aratu.php?secao=tportos_aratu</x:v>
      </x:c>
      <x:c r="O11" s="140" t="n">
        <x:v>46296</x:v>
      </x:c>
      <x:c r="P11" s="141" t="str">
        <x:v>24340 / DUV 440892026. CODEBA fetched Oct-1. Planned cargo; completed discharge not verified.</x:v>
      </x:c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40" t="n">
        <x:v>46298</x:v>
      </x:c>
      <x:c r="B12" s="141" t="str">
        <x:v>BLOOMING FUTURE</x:v>
      </x:c>
      <x:c r="C12" s="141" t="str">
        <x:v>Aratu / TPG</x:v>
      </x:c>
      <x:c r="D12" s="141" t="str">
        <x:v>Scheduled</x:v>
      </x:c>
      <x:c r="E12" s="141" t="str">
        <x:v>Naphtha</x:v>
      </x:c>
      <x:c r="F12" s="162" t="n">
        <x:v>28000000</x:v>
      </x:c>
      <x:c r="G12" s="152" t="n">
        <x:f>IF(F12="","",F12/1000000)</x:f>
        <x:v>28</x:v>
      </x:c>
      <x:c r="H12" s="141" t="str">
        <x:v>BRASKEM S.A.</x:v>
      </x:c>
      <x:c r="I12" s="141" t="str">
        <x:v>Yes</x:v>
      </x:c>
      <x:c r="J12" s="141" t="str">
        <x:v>Future LR1</x:v>
      </x:c>
      <x:c r="K12" s="140" t="n">
        <x:v>46297.375</x:v>
      </x:c>
      <x:c r="L12" s="140" t="n">
        <x:v>46299</x:v>
      </x:c>
      <x:c r="M12" s="141" t="str">
        <x:v>Tier 1 forward</x:v>
      </x:c>
      <x:c r="N12" s="141" t="str">
        <x:v>https://codeba.gov.br/eficiente/sites/portalcodeba/pt-br/porto_aratu.php?secao=tportos_aratu</x:v>
      </x:c>
      <x:c r="O12" s="140" t="n">
        <x:v>46296</x:v>
      </x:c>
      <x:c r="P12" s="141" t="str">
        <x:v>24355 / DUV 462002026. CODEBA fetched Oct-1. Planned cargo; completed discharge not verified.</x:v>
      </x:c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40" t="n">
        <x:v>46300</x:v>
      </x:c>
      <x:c r="B13" s="141" t="str">
        <x:v>CEDAR EXPRESS</x:v>
      </x:c>
      <x:c r="C13" s="141" t="str">
        <x:v>Aratu / TPG</x:v>
      </x:c>
      <x:c r="D13" s="141" t="str">
        <x:v>Anchored / Awaiting berth</x:v>
      </x:c>
      <x:c r="E13" s="141" t="str">
        <x:v>Naphtha</x:v>
      </x:c>
      <x:c r="F13" s="162" t="n">
        <x:v>34097355</x:v>
      </x:c>
      <x:c r="G13" s="152" t="n">
        <x:f>IF(F13="","",F13/1000000)</x:f>
        <x:v>34.097355</x:v>
      </x:c>
      <x:c r="H13" s="141" t="str">
        <x:v>BRASKEM S.A.</x:v>
      </x:c>
      <x:c r="I13" s="141" t="str">
        <x:v>Yes</x:v>
      </x:c>
      <x:c r="J13" s="141" t="str">
        <x:v>Third-party</x:v>
      </x:c>
      <x:c r="K13" s="140" t="n">
        <x:v>46295.958333333336</x:v>
      </x:c>
      <x:c r="L13" s="140" t="n">
        <x:v>46301</x:v>
      </x:c>
      <x:c r="M13" s="141" t="str">
        <x:v>Tier 1 live</x:v>
      </x:c>
      <x:c r="N13" s="141" t="str">
        <x:v>https://codeba.gov.br/eficiente/sites/portalcodeba/pt-br/porto_aratu.php?secao=tportos_aratu</x:v>
      </x:c>
      <x:c r="O13" s="140" t="n">
        <x:v>46296</x:v>
      </x:c>
      <x:c r="P13" s="141" t="str">
        <x:v>24342 / DUV 460452026. CODEBA fetched Oct-1. Planned cargo; completed discharge not verified.</x:v>
      </x:c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40" t="n">
        <x:v>46301</x:v>
      </x:c>
      <x:c r="B14" s="141" t="str">
        <x:v>PINE OLIA</x:v>
      </x:c>
      <x:c r="C14" s="141" t="str">
        <x:v>Aratu / TPG</x:v>
      </x:c>
      <x:c r="D14" s="141" t="str">
        <x:v>Anchored / Awaiting berth</x:v>
      </x:c>
      <x:c r="E14" s="141" t="str">
        <x:v>Naphtha</x:v>
      </x:c>
      <x:c r="F14" s="162" t="n">
        <x:v>27600000</x:v>
      </x:c>
      <x:c r="G14" s="152" t="n">
        <x:f>IF(F14="","",F14/1000000)</x:f>
        <x:v>27.6</x:v>
      </x:c>
      <x:c r="H14" s="141" t="str">
        <x:v>BRASKEM S.A.</x:v>
      </x:c>
      <x:c r="I14" s="141" t="str">
        <x:v>Yes</x:v>
      </x:c>
      <x:c r="J14" s="141" t="str">
        <x:v>Third-party</x:v>
      </x:c>
      <x:c r="K14" s="140" t="n">
        <x:v>46295.375</x:v>
      </x:c>
      <x:c r="L14" s="140" t="n">
        <x:v>46303</x:v>
      </x:c>
      <x:c r="M14" s="141" t="str">
        <x:v>Tier 1 live</x:v>
      </x:c>
      <x:c r="N14" s="141" t="str">
        <x:v>https://codeba.gov.br/eficiente/sites/portalcodeba/pt-br/porto_aratu.php?secao=tportos_aratu</x:v>
      </x:c>
      <x:c r="O14" s="140" t="n">
        <x:v>46296</x:v>
      </x:c>
      <x:c r="P14" s="141" t="str">
        <x:v>24336 / DUV 443822026. CODEBA fetched Oct-1. Planned cargo; completed discharge not verified.</x:v>
      </x:c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40" t="n">
        <x:v>46303</x:v>
      </x:c>
      <x:c r="B15" s="141" t="str">
        <x:v>BAIACU</x:v>
      </x:c>
      <x:c r="C15" s="141" t="str">
        <x:v>Aratu / TPG</x:v>
      </x:c>
      <x:c r="D15" s="141" t="str">
        <x:v>Scheduled</x:v>
      </x:c>
      <x:c r="E15" s="141" t="str">
        <x:v>Naphtha</x:v>
      </x:c>
      <x:c r="F15" s="162"/>
      <x:c r="G15" s="152" t="str">
        <x:f>IF(F15="","",F15/1000000)</x:f>
      </x:c>
      <x:c r="H15" s="141" t="str">
        <x:v>BRASKEM S.A.</x:v>
      </x:c>
      <x:c r="I15" s="141" t="str">
        <x:v>Yes</x:v>
      </x:c>
      <x:c r="J15" s="141" t="str">
        <x:v>Third-party</x:v>
      </x:c>
      <x:c r="K15" s="140" t="n">
        <x:v>46301.333333333336</x:v>
      </x:c>
      <x:c r="L15" s="140" t="n">
        <x:v>46305</x:v>
      </x:c>
      <x:c r="M15" s="141" t="str">
        <x:v>Tier 1 forward</x:v>
      </x:c>
      <x:c r="N15" s="141" t="str">
        <x:v>https://codeba.gov.br/eficiente/sites/portalcodeba/pt-br/porto_aratu.php?secao=tportos_aratu</x:v>
      </x:c>
      <x:c r="O15" s="140" t="n">
        <x:v>46296</x:v>
      </x:c>
      <x:c r="P15" s="141" t="str">
        <x:v>24347 / DUV 454222026. CODEBA fetched Oct-1. Planned cargo; completed discharge not verified. Source reports 0/TBD; excluded from known tonnage.</x:v>
      </x:c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P1"/>
  </x:mergeCells>
  <x:conditionalFormatting sqref="J3:J100">
    <x:cfRule type="expression" dxfId="0" priority="1">
      <x:formula>$J3="Future LR1"</x:formula>
    </x:cfRule>
    <x:cfRule type="expression" dxfId="1" priority="2">
      <x:formula>$J3="Unconfirmed"</x:formula>
    </x:cfRule>
  </x:conditionalFormatting>
  <x:conditionalFormatting sqref="D3:D100">
    <x:cfRule type="expression" dxfId="2" priority="3">
      <x:formula>ISNUMBER(SEARCH("Scheduled",$D3))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0c4af3316642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20" hidden="0" customWidth="1"/>
    <x:col min="8" max="8" width="12" hidden="0" customWidth="1"/>
    <x:col min="9" max="9" width="12" hidden="0" customWidth="1"/>
    <x:col min="10" max="10" width="42" hidden="0" customWidth="1"/>
    <x:col min="11" max="11" width="12" hidden="0" customWidth="1"/>
    <x:col min="12" max="12" width="42" hidden="0" customWidth="1"/>
  </x:cols>
  <x:sheetData>
    <x:row r="1" ht="26" customHeight="1">
      <x:c r="A1" s="4" t="str">
        <x:v>Historical Braskem Naphtha Fixture Evidence — Publicly Recoverable, Non-Exhaustive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Fixture / Load Date</x:v>
      </x:c>
      <x:c r="B2" s="12" t="str">
        <x:v>Vessel</x:v>
      </x:c>
      <x:c r="C2" s="12" t="str">
        <x:v>Size (kt)</x:v>
      </x:c>
      <x:c r="D2" s="12" t="str">
        <x:v>Product</x:v>
      </x:c>
      <x:c r="E2" s="12" t="str">
        <x:v>Route</x:v>
      </x:c>
      <x:c r="F2" s="12" t="str">
        <x:v>Charterer</x:v>
      </x:c>
      <x:c r="G2" s="12" t="str">
        <x:v>Evidence Type</x:v>
      </x:c>
      <x:c r="H2" s="12" t="str">
        <x:v>Year</x:v>
      </x:c>
      <x:c r="I2" s="12" t="str">
        <x:v>Future Fleet?</x:v>
      </x:c>
      <x:c r="J2" s="12" t="str">
        <x:v>Source URL</x:v>
      </x:c>
      <x:c r="K2" s="12" t="str">
        <x:v>Confidence</x:v>
      </x:c>
      <x:c r="L2" s="12" t="str">
        <x:v>Notes</x:v>
      </x:c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22" t="n">
        <x:v>45524</x:v>
      </x:c>
      <x:c r="B3" s="116" t="str">
        <x:v>ENERGY CENTAUR</x:v>
      </x:c>
      <x:c r="C3" s="123" t="n">
        <x:v>60</x:v>
      </x:c>
      <x:c r="D3" s="116" t="str">
        <x:v>Naphtha</x:v>
      </x:c>
      <x:c r="E3" s="116" t="str">
        <x:v>USGC-Brazil</x:v>
      </x:c>
      <x:c r="F3" s="116" t="str">
        <x:v>Braskem</x:v>
      </x:c>
      <x:c r="G3" s="116" t="str">
        <x:v>S&amp;P/Platts fixture</x:v>
      </x:c>
      <x:c r="H3" s="116" t="n">
        <x:v>2024</x:v>
      </x:c>
      <x:c r="I3" s="116" t="str">
        <x:v>No</x:v>
      </x:c>
      <x:c r="J3" s="171" t="str">
        <x:v>https://www.scribd.com/document/763174480/Plats-Asia-Pacific</x:v>
      </x:c>
      <x:c r="K3" s="116" t="str">
        <x:v>High</x:v>
      </x:c>
      <x:c r="L3" s="116" t="str">
        <x:v>Fixture evidence, not Brazilian port-arrival confirmation.</x:v>
      </x:c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22" t="n">
        <x:v>45727</x:v>
      </x:c>
      <x:c r="B4" s="116" t="str">
        <x:v>NAVIG8 MESSI</x:v>
      </x:c>
      <x:c r="C4" s="123" t="n">
        <x:v>60</x:v>
      </x:c>
      <x:c r="D4" s="116" t="str">
        <x:v>Naphtha</x:v>
      </x:c>
      <x:c r="E4" s="116" t="str">
        <x:v>USGC-Brazil</x:v>
      </x:c>
      <x:c r="F4" s="116" t="str">
        <x:v>Braskem</x:v>
      </x:c>
      <x:c r="G4" s="116" t="str">
        <x:v>S&amp;P/Platts fixture</x:v>
      </x:c>
      <x:c r="H4" s="116" t="n">
        <x:v>2025</x:v>
      </x:c>
      <x:c r="I4" s="116" t="str">
        <x:v>No</x:v>
      </x:c>
      <x:c r="J4" s="171" t="str">
        <x:v>https://www.petropexint.com/wp-content/uploads/2025/03/APAG.20250221.pdf</x:v>
      </x:c>
      <x:c r="K4" s="116" t="str">
        <x:v>High</x:v>
      </x:c>
      <x:c r="L4" s="116" t="str">
        <x:v>CBP later recorded NAVIG8 MESSI cleared Houston for Aratu on 2025-03-15.</x:v>
      </x:c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22" t="n">
        <x:v>45738</x:v>
      </x:c>
      <x:c r="B5" s="116" t="str">
        <x:v>HAFNIA EXPEDITE</x:v>
      </x:c>
      <x:c r="C5" s="123" t="n">
        <x:v>60</x:v>
      </x:c>
      <x:c r="D5" s="116" t="str">
        <x:v>Naphtha</x:v>
      </x:c>
      <x:c r="E5" s="116" t="str">
        <x:v>USGC-Brazil</x:v>
      </x:c>
      <x:c r="F5" s="116" t="str">
        <x:v>Braskem</x:v>
      </x:c>
      <x:c r="G5" s="116" t="str">
        <x:v>S&amp;P/Platts fixture</x:v>
      </x:c>
      <x:c r="H5" s="116" t="n">
        <x:v>2025</x:v>
      </x:c>
      <x:c r="I5" s="116" t="str">
        <x:v>No</x:v>
      </x:c>
      <x:c r="J5" s="171" t="str">
        <x:v>https://www.scribd.com/document/942845503/APAG-20250311</x:v>
      </x:c>
      <x:c r="K5" s="116" t="str">
        <x:v>High</x:v>
      </x:c>
      <x:c r="L5" s="116" t="str">
        <x:v>Fixture evidence, not Brazilian port-arrival confirmation.</x:v>
      </x:c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22" t="n">
        <x:v>45855</x:v>
      </x:c>
      <x:c r="B6" s="116" t="str">
        <x:v>BARU</x:v>
      </x:c>
      <x:c r="C6" s="123" t="n">
        <x:v>60</x:v>
      </x:c>
      <x:c r="D6" s="116" t="str">
        <x:v>Naphtha</x:v>
      </x:c>
      <x:c r="E6" s="116" t="str">
        <x:v>USGC-Brazil</x:v>
      </x:c>
      <x:c r="F6" s="116" t="str">
        <x:v>Braskem</x:v>
      </x:c>
      <x:c r="G6" s="116" t="str">
        <x:v>S&amp;P/Platts fixture</x:v>
      </x:c>
      <x:c r="H6" s="116" t="n">
        <x:v>2025</x:v>
      </x:c>
      <x:c r="I6" s="116" t="str">
        <x:v>No</x:v>
      </x:c>
      <x:c r="J6" s="171" t="str">
        <x:v>https://www.scribd.com/document/888047980/APAG-20250711</x:v>
      </x:c>
      <x:c r="K6" s="116" t="str">
        <x:v>High</x:v>
      </x:c>
      <x:c r="L6" s="116" t="str">
        <x:v>Fixture evidence, not Brazilian port-arrival confirmation.</x:v>
      </x:c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22" t="n">
        <x:v>45918</x:v>
      </x:c>
      <x:c r="B7" s="116" t="str">
        <x:v>UOG IOANNIS V</x:v>
      </x:c>
      <x:c r="C7" s="123" t="n">
        <x:v>60</x:v>
      </x:c>
      <x:c r="D7" s="116" t="str">
        <x:v>Naphtha</x:v>
      </x:c>
      <x:c r="E7" s="116" t="str">
        <x:v>USGC-Brazil</x:v>
      </x:c>
      <x:c r="F7" s="116" t="str">
        <x:v>Braskem</x:v>
      </x:c>
      <x:c r="G7" s="116" t="str">
        <x:v>S&amp;P/Platts fixture</x:v>
      </x:c>
      <x:c r="H7" s="116" t="n">
        <x:v>2025</x:v>
      </x:c>
      <x:c r="I7" s="116" t="str">
        <x:v>No</x:v>
      </x:c>
      <x:c r="J7" s="171" t="str">
        <x:v>https://www.petropexint.com/wp-content/uploads/2025/08/APAG_20250828.pdf</x:v>
      </x:c>
      <x:c r="K7" s="116" t="str">
        <x:v>High</x:v>
      </x:c>
      <x:c r="L7" s="116" t="str">
        <x:v>Fixture evidence, not Brazilian port-arrival confirmation.</x:v>
      </x:c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76"/>
      <x:c r="B8" s="176"/>
      <x:c r="C8" s="176"/>
      <x:c r="D8" s="176"/>
      <x:c r="E8" s="176"/>
      <x:c r="F8" s="176"/>
      <x:c r="G8" s="176"/>
      <x:c r="H8" s="176"/>
      <x:c r="I8" s="176"/>
      <x:c r="J8" s="176"/>
      <x:c r="K8" s="176"/>
      <x:c r="L8" s="17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53" t="str">
        <x:v>IMPORTANT: This is a discovered-evidence log, not a complete fixture history. Missing rows must not be interpreted as zero imports. For a true monthly history, use ANP / Braskem / Transpetro terminal movement files; the Monthly Monitor includes a dedicated field for that backfill.</x:v>
      </x:c>
      <x:c r="B9" s="153"/>
      <x:c r="C9" s="153"/>
      <x:c r="D9" s="153"/>
      <x:c r="E9" s="153"/>
      <x:c r="F9" s="153"/>
      <x:c r="G9" s="153"/>
      <x:c r="H9" s="153"/>
      <x:c r="I9" s="153"/>
      <x:c r="J9" s="153"/>
      <x:c r="K9" s="153"/>
      <x:c r="L9" s="153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53"/>
      <x:c r="B10" s="153"/>
      <x:c r="C10" s="153"/>
      <x:c r="D10" s="153"/>
      <x:c r="E10" s="153"/>
      <x:c r="F10" s="153"/>
      <x:c r="G10" s="153"/>
      <x:c r="H10" s="153"/>
      <x:c r="I10" s="153"/>
      <x:c r="J10" s="153"/>
      <x:c r="K10" s="153"/>
      <x:c r="L10" s="153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36"/>
      <x:c r="B11" s="136"/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6"/>
      <x:c r="B12" s="136"/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36"/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36"/>
      <x:c r="B14" s="136"/>
      <x:c r="C14" s="136"/>
      <x:c r="D14" s="136"/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36"/>
      <x:c r="B15" s="136"/>
      <x:c r="C15" s="136"/>
      <x:c r="D15" s="136"/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L1"/>
    <x:mergeCell ref="A9:L10"/>
  </x:mergeCells>
  <x:pageMargins left="0.7" right="0.7" top="0.75" bottom="0.75" header="0.3" footer="0.3"/>
  <x:tableParts count="1">
    <x:tablePart xmlns:r="http://schemas.openxmlformats.org/officeDocument/2006/relationships" r:id="R133d2a85f71a4c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22" hidden="0" customWidth="1"/>
    <x:col min="9" max="9" width="28" hidden="0" customWidth="1"/>
    <x:col min="10" max="10" width="40" hidden="0" customWidth="1"/>
  </x:cols>
  <x:sheetData>
    <x:row r="1" ht="26" customHeight="1">
      <x:c r="A1" s="4" t="str">
        <x:v>Monthly Naphtha Monitor — 2024 to 2027</x:v>
      </x:c>
      <x:c r="B1" s="4"/>
      <x:c r="C1" s="4"/>
      <x:c r="D1" s="4"/>
      <x:c r="E1" s="4"/>
      <x:c r="F1" s="4"/>
      <x:c r="G1" s="4"/>
      <x:c r="H1" s="4"/>
      <x:c r="I1" s="4"/>
      <x:c r="J1" s="4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Month</x:v>
      </x:c>
      <x:c r="B2" s="12" t="str">
        <x:v>Future LR1 Completed (kt)</x:v>
      </x:c>
      <x:c r="C2" s="12" t="str">
        <x:v>Third-party Completed (kt)</x:v>
      </x:c>
      <x:c r="D2" s="12" t="str">
        <x:v>Unconfirmed / Forward (kt)</x:v>
      </x:c>
      <x:c r="E2" s="12" t="str">
        <x:v>Total Tracked (kt)</x:v>
      </x:c>
      <x:c r="F2" s="12" t="str">
        <x:v>Rolling 3M Tracked (kt)</x:v>
      </x:c>
      <x:c r="G2" s="12" t="str">
        <x:v>Coverage</x:v>
      </x:c>
      <x:c r="H2" s="203" t="str">
        <x:v>Official Aratu Port Cargo (kt; all products)</x:v>
      </x:c>
      <x:c r="I2" s="12" t="str">
        <x:v>Additive Signal</x:v>
      </x:c>
      <x:c r="J2" s="12" t="str">
        <x:v>Notes</x:v>
      </x:c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78" t="n">
        <x:v>45292</x:v>
      </x:c>
      <x:c r="B3" s="169" t="n">
        <x:f>SUMIFS(Arrivals!$G$3:$G$1000,Arrivals!$A$3:$A$1000,"&gt;="&amp;A3,Arrivals!$A$3:$A$1000,"&lt;"&amp;DATE(YEAR(A3),MONTH(A3)+1,1),Arrivals!$D$3:$D$1000,"Completed",Arrivals!$J$3:$J$1000,"Future LR1")</x:f>
        <x:v>0</x:v>
      </x:c>
      <x:c r="C3" s="169" t="n">
        <x:f>SUMIFS(Arrivals!$G$3:$G$1000,Arrivals!$A$3:$A$1000,"&gt;="&amp;A3,Arrivals!$A$3:$A$1000,"&lt;"&amp;DATE(YEAR(A3),MONTH(A3)+1,1),Arrivals!$D$3:$D$1000,"Completed",Arrivals!$J$3:$J$1000,"Third-party")</x:f>
        <x:v>0</x:v>
      </x:c>
      <x:c r="D3" s="169" t="n">
        <x:f>SUMIFS(Arrivals!$G$3:$G$1000,Arrivals!$A$3:$A$1000,"&gt;="&amp;A3,Arrivals!$A$3:$A$1000,"&lt;"&amp;EDATE(A3,1),Arrivals!$D$3:$D$1000,"Scheduled")+SUMIFS(Arrivals!$G$3:$G$1000,Arrivals!$A$3:$A$1000,"&gt;="&amp;A3,Arrivals!$A$3:$A$1000,"&lt;"&amp;EDATE(A3,1),Arrivals!$D$3:$D$1000,"Berthed / Discharging")+SUMIFS(Arrivals!$G$3:$G$1000,Arrivals!$A$3:$A$1000,"&gt;="&amp;A3,Arrivals!$A$3:$A$1000,"&lt;"&amp;EDATE(A3,1),Arrivals!$D$3:$D$1000,"Anchored / Awaiting berth")</x:f>
        <x:v>0</x:v>
      </x:c>
      <x:c r="E3" s="169" t="n">
        <x:f>SUM(B3:D3)</x:f>
        <x:v>0</x:v>
      </x:c>
      <x:c r="F3" s="169" t="n">
        <x:f>SUM(E3:E3)</x:f>
        <x:v>0</x:v>
      </x:c>
      <x:c r="G3" s="179" t="str">
        <x:f>IF(A3&lt;DATE(2026,8,1),"Historical vessel list not backfilled",IF(A3=DATE(2026,8,1),"Live Aratu capture","Forward / update pending"))</x:f>
        <x:v>Historical vessel list not backfilled</x:v>
      </x:c>
      <x:c r="H3" s="169"/>
      <x:c r="I3" s="179" t="str">
        <x:f>IF(A3&lt;DATE(2026,8,1),"",IF(C3&gt;0,IF(B3&gt;0,"Future + third-party coexisting","Third-party only"),IF(B3&gt;0,"Future only","No tracked arrivals")))</x:f>
      </x:c>
      <x:c r="J3" s="179" t="str">
        <x:f>IF(A3=DATE(2026,8,1),"Completed + near-forward CODEBA data in Arrivals tab; ANP historical monthly backfill pending.","")</x:f>
      </x:c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78" t="n">
        <x:v>45323</x:v>
      </x:c>
      <x:c r="B4" s="169" t="n">
        <x:f>SUMIFS(Arrivals!$G$3:$G$1000,Arrivals!$A$3:$A$1000,"&gt;="&amp;A4,Arrivals!$A$3:$A$1000,"&lt;"&amp;DATE(YEAR(A4),MONTH(A4)+1,1),Arrivals!$D$3:$D$1000,"Completed",Arrivals!$J$3:$J$1000,"Future LR1")</x:f>
        <x:v>0</x:v>
      </x:c>
      <x:c r="C4" s="169" t="n">
        <x:f>SUMIFS(Arrivals!$G$3:$G$1000,Arrivals!$A$3:$A$1000,"&gt;="&amp;A4,Arrivals!$A$3:$A$1000,"&lt;"&amp;DATE(YEAR(A4),MONTH(A4)+1,1),Arrivals!$D$3:$D$1000,"Completed",Arrivals!$J$3:$J$1000,"Third-party")</x:f>
        <x:v>0</x:v>
      </x:c>
      <x:c r="D4" s="169" t="n">
        <x:f>SUMIFS(Arrivals!$G$3:$G$1000,Arrivals!$A$3:$A$1000,"&gt;="&amp;A4,Arrivals!$A$3:$A$1000,"&lt;"&amp;EDATE(A4,1),Arrivals!$D$3:$D$1000,"Scheduled")+SUMIFS(Arrivals!$G$3:$G$1000,Arrivals!$A$3:$A$1000,"&gt;="&amp;A4,Arrivals!$A$3:$A$1000,"&lt;"&amp;EDATE(A4,1),Arrivals!$D$3:$D$1000,"Berthed / Discharging")+SUMIFS(Arrivals!$G$3:$G$1000,Arrivals!$A$3:$A$1000,"&gt;="&amp;A4,Arrivals!$A$3:$A$1000,"&lt;"&amp;EDATE(A4,1),Arrivals!$D$3:$D$1000,"Anchored / Awaiting berth")</x:f>
        <x:v>0</x:v>
      </x:c>
      <x:c r="E4" s="169" t="n">
        <x:f>SUM(B4:D4)</x:f>
        <x:v>0</x:v>
      </x:c>
      <x:c r="F4" s="169" t="n">
        <x:f>SUM(E3:E4)</x:f>
        <x:v>0</x:v>
      </x:c>
      <x:c r="G4" s="179" t="str">
        <x:f>IF(A4&lt;DATE(2026,8,1),"Historical vessel list not backfilled",IF(A4=DATE(2026,8,1),"Live Aratu capture","Forward / update pending"))</x:f>
        <x:v>Historical vessel list not backfilled</x:v>
      </x:c>
      <x:c r="H4" s="169"/>
      <x:c r="I4" s="179" t="str">
        <x:f>IF(A4&lt;DATE(2026,8,1),"",IF(C4&gt;0,IF(B4&gt;0,"Future + third-party coexisting","Third-party only"),IF(B4&gt;0,"Future only","No tracked arrivals")))</x:f>
      </x:c>
      <x:c r="J4" s="179" t="str">
        <x:f>IF(A4=DATE(2026,8,1),"Completed + near-forward CODEBA data in Arrivals tab; ANP historical monthly backfill pending.","")</x:f>
      </x:c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78" t="n">
        <x:v>45352</x:v>
      </x:c>
      <x:c r="B5" s="169" t="n">
        <x:f>SUMIFS(Arrivals!$G$3:$G$1000,Arrivals!$A$3:$A$1000,"&gt;="&amp;A5,Arrivals!$A$3:$A$1000,"&lt;"&amp;DATE(YEAR(A5),MONTH(A5)+1,1),Arrivals!$D$3:$D$1000,"Completed",Arrivals!$J$3:$J$1000,"Future LR1")</x:f>
        <x:v>0</x:v>
      </x:c>
      <x:c r="C5" s="169" t="n">
        <x:f>SUMIFS(Arrivals!$G$3:$G$1000,Arrivals!$A$3:$A$1000,"&gt;="&amp;A5,Arrivals!$A$3:$A$1000,"&lt;"&amp;DATE(YEAR(A5),MONTH(A5)+1,1),Arrivals!$D$3:$D$1000,"Completed",Arrivals!$J$3:$J$1000,"Third-party")</x:f>
        <x:v>0</x:v>
      </x:c>
      <x:c r="D5" s="169" t="n">
        <x:f>SUMIFS(Arrivals!$G$3:$G$1000,Arrivals!$A$3:$A$1000,"&gt;="&amp;A5,Arrivals!$A$3:$A$1000,"&lt;"&amp;EDATE(A5,1),Arrivals!$D$3:$D$1000,"Scheduled")+SUMIFS(Arrivals!$G$3:$G$1000,Arrivals!$A$3:$A$1000,"&gt;="&amp;A5,Arrivals!$A$3:$A$1000,"&lt;"&amp;EDATE(A5,1),Arrivals!$D$3:$D$1000,"Berthed / Discharging")+SUMIFS(Arrivals!$G$3:$G$1000,Arrivals!$A$3:$A$1000,"&gt;="&amp;A5,Arrivals!$A$3:$A$1000,"&lt;"&amp;EDATE(A5,1),Arrivals!$D$3:$D$1000,"Anchored / Awaiting berth")</x:f>
        <x:v>0</x:v>
      </x:c>
      <x:c r="E5" s="169" t="n">
        <x:f>SUM(B5:D5)</x:f>
        <x:v>0</x:v>
      </x:c>
      <x:c r="F5" s="169" t="n">
        <x:f>SUM(E3:E5)</x:f>
        <x:v>0</x:v>
      </x:c>
      <x:c r="G5" s="179" t="str">
        <x:f>IF(A5&lt;DATE(2026,8,1),"Historical vessel list not backfilled",IF(A5=DATE(2026,8,1),"Live Aratu capture","Forward / update pending"))</x:f>
        <x:v>Historical vessel list not backfilled</x:v>
      </x:c>
      <x:c r="H5" s="169"/>
      <x:c r="I5" s="179" t="str">
        <x:f>IF(A5&lt;DATE(2026,8,1),"",IF(C5&gt;0,IF(B5&gt;0,"Future + third-party coexisting","Third-party only"),IF(B5&gt;0,"Future only","No tracked arrivals")))</x:f>
      </x:c>
      <x:c r="J5" s="179" t="str">
        <x:f>IF(A5=DATE(2026,8,1),"Completed + near-forward CODEBA data in Arrivals tab; ANP historical monthly backfill pending.","")</x:f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78" t="n">
        <x:v>45383</x:v>
      </x:c>
      <x:c r="B6" s="169" t="n">
        <x:f>SUMIFS(Arrivals!$G$3:$G$1000,Arrivals!$A$3:$A$1000,"&gt;="&amp;A6,Arrivals!$A$3:$A$1000,"&lt;"&amp;DATE(YEAR(A6),MONTH(A6)+1,1),Arrivals!$D$3:$D$1000,"Completed",Arrivals!$J$3:$J$1000,"Future LR1")</x:f>
        <x:v>0</x:v>
      </x:c>
      <x:c r="C6" s="169" t="n">
        <x:f>SUMIFS(Arrivals!$G$3:$G$1000,Arrivals!$A$3:$A$1000,"&gt;="&amp;A6,Arrivals!$A$3:$A$1000,"&lt;"&amp;DATE(YEAR(A6),MONTH(A6)+1,1),Arrivals!$D$3:$D$1000,"Completed",Arrivals!$J$3:$J$1000,"Third-party")</x:f>
        <x:v>0</x:v>
      </x:c>
      <x:c r="D6" s="169" t="n">
        <x:f>SUMIFS(Arrivals!$G$3:$G$1000,Arrivals!$A$3:$A$1000,"&gt;="&amp;A6,Arrivals!$A$3:$A$1000,"&lt;"&amp;EDATE(A6,1),Arrivals!$D$3:$D$1000,"Scheduled")+SUMIFS(Arrivals!$G$3:$G$1000,Arrivals!$A$3:$A$1000,"&gt;="&amp;A6,Arrivals!$A$3:$A$1000,"&lt;"&amp;EDATE(A6,1),Arrivals!$D$3:$D$1000,"Berthed / Discharging")+SUMIFS(Arrivals!$G$3:$G$1000,Arrivals!$A$3:$A$1000,"&gt;="&amp;A6,Arrivals!$A$3:$A$1000,"&lt;"&amp;EDATE(A6,1),Arrivals!$D$3:$D$1000,"Anchored / Awaiting berth")</x:f>
        <x:v>0</x:v>
      </x:c>
      <x:c r="E6" s="169" t="n">
        <x:f>SUM(B6:D6)</x:f>
        <x:v>0</x:v>
      </x:c>
      <x:c r="F6" s="169" t="n">
        <x:f>SUM(E4:E6)</x:f>
        <x:v>0</x:v>
      </x:c>
      <x:c r="G6" s="179" t="str">
        <x:f>IF(A6&lt;DATE(2026,8,1),"Historical vessel list not backfilled",IF(A6=DATE(2026,8,1),"Live Aratu capture","Forward / update pending"))</x:f>
        <x:v>Historical vessel list not backfilled</x:v>
      </x:c>
      <x:c r="H6" s="169"/>
      <x:c r="I6" s="179" t="str">
        <x:f>IF(A6&lt;DATE(2026,8,1),"",IF(C6&gt;0,IF(B6&gt;0,"Future + third-party coexisting","Third-party only"),IF(B6&gt;0,"Future only","No tracked arrivals")))</x:f>
      </x:c>
      <x:c r="J6" s="179" t="str">
        <x:f>IF(A6=DATE(2026,8,1),"Completed + near-forward CODEBA data in Arrivals tab; ANP historical monthly backfill pending.","")</x:f>
      </x:c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78" t="n">
        <x:v>45413</x:v>
      </x:c>
      <x:c r="B7" s="169" t="n">
        <x:f>SUMIFS(Arrivals!$G$3:$G$1000,Arrivals!$A$3:$A$1000,"&gt;="&amp;A7,Arrivals!$A$3:$A$1000,"&lt;"&amp;DATE(YEAR(A7),MONTH(A7)+1,1),Arrivals!$D$3:$D$1000,"Completed",Arrivals!$J$3:$J$1000,"Future LR1")</x:f>
        <x:v>0</x:v>
      </x:c>
      <x:c r="C7" s="169" t="n">
        <x:f>SUMIFS(Arrivals!$G$3:$G$1000,Arrivals!$A$3:$A$1000,"&gt;="&amp;A7,Arrivals!$A$3:$A$1000,"&lt;"&amp;DATE(YEAR(A7),MONTH(A7)+1,1),Arrivals!$D$3:$D$1000,"Completed",Arrivals!$J$3:$J$1000,"Third-party")</x:f>
        <x:v>0</x:v>
      </x:c>
      <x:c r="D7" s="169" t="n">
        <x:f>SUMIFS(Arrivals!$G$3:$G$1000,Arrivals!$A$3:$A$1000,"&gt;="&amp;A7,Arrivals!$A$3:$A$1000,"&lt;"&amp;EDATE(A7,1),Arrivals!$D$3:$D$1000,"Scheduled")+SUMIFS(Arrivals!$G$3:$G$1000,Arrivals!$A$3:$A$1000,"&gt;="&amp;A7,Arrivals!$A$3:$A$1000,"&lt;"&amp;EDATE(A7,1),Arrivals!$D$3:$D$1000,"Berthed / Discharging")+SUMIFS(Arrivals!$G$3:$G$1000,Arrivals!$A$3:$A$1000,"&gt;="&amp;A7,Arrivals!$A$3:$A$1000,"&lt;"&amp;EDATE(A7,1),Arrivals!$D$3:$D$1000,"Anchored / Awaiting berth")</x:f>
        <x:v>0</x:v>
      </x:c>
      <x:c r="E7" s="169" t="n">
        <x:f>SUM(B7:D7)</x:f>
        <x:v>0</x:v>
      </x:c>
      <x:c r="F7" s="169" t="n">
        <x:f>SUM(E5:E7)</x:f>
        <x:v>0</x:v>
      </x:c>
      <x:c r="G7" s="179" t="str">
        <x:f>IF(A7&lt;DATE(2026,8,1),"Historical vessel list not backfilled",IF(A7=DATE(2026,8,1),"Live Aratu capture","Forward / update pending"))</x:f>
        <x:v>Historical vessel list not backfilled</x:v>
      </x:c>
      <x:c r="H7" s="169"/>
      <x:c r="I7" s="179" t="str">
        <x:f>IF(A7&lt;DATE(2026,8,1),"",IF(C7&gt;0,IF(B7&gt;0,"Future + third-party coexisting","Third-party only"),IF(B7&gt;0,"Future only","No tracked arrivals")))</x:f>
      </x:c>
      <x:c r="J7" s="179" t="str">
        <x:f>IF(A7=DATE(2026,8,1),"Completed + near-forward CODEBA data in Arrivals tab; ANP historical monthly backfill pending.","")</x:f>
      </x:c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78" t="n">
        <x:v>45444</x:v>
      </x:c>
      <x:c r="B8" s="169" t="n">
        <x:f>SUMIFS(Arrivals!$G$3:$G$1000,Arrivals!$A$3:$A$1000,"&gt;="&amp;A8,Arrivals!$A$3:$A$1000,"&lt;"&amp;DATE(YEAR(A8),MONTH(A8)+1,1),Arrivals!$D$3:$D$1000,"Completed",Arrivals!$J$3:$J$1000,"Future LR1")</x:f>
        <x:v>0</x:v>
      </x:c>
      <x:c r="C8" s="169" t="n">
        <x:f>SUMIFS(Arrivals!$G$3:$G$1000,Arrivals!$A$3:$A$1000,"&gt;="&amp;A8,Arrivals!$A$3:$A$1000,"&lt;"&amp;DATE(YEAR(A8),MONTH(A8)+1,1),Arrivals!$D$3:$D$1000,"Completed",Arrivals!$J$3:$J$1000,"Third-party")</x:f>
        <x:v>0</x:v>
      </x:c>
      <x:c r="D8" s="169" t="n">
        <x:f>SUMIFS(Arrivals!$G$3:$G$1000,Arrivals!$A$3:$A$1000,"&gt;="&amp;A8,Arrivals!$A$3:$A$1000,"&lt;"&amp;EDATE(A8,1),Arrivals!$D$3:$D$1000,"Scheduled")+SUMIFS(Arrivals!$G$3:$G$1000,Arrivals!$A$3:$A$1000,"&gt;="&amp;A8,Arrivals!$A$3:$A$1000,"&lt;"&amp;EDATE(A8,1),Arrivals!$D$3:$D$1000,"Berthed / Discharging")+SUMIFS(Arrivals!$G$3:$G$1000,Arrivals!$A$3:$A$1000,"&gt;="&amp;A8,Arrivals!$A$3:$A$1000,"&lt;"&amp;EDATE(A8,1),Arrivals!$D$3:$D$1000,"Anchored / Awaiting berth")</x:f>
        <x:v>0</x:v>
      </x:c>
      <x:c r="E8" s="169" t="n">
        <x:f>SUM(B8:D8)</x:f>
        <x:v>0</x:v>
      </x:c>
      <x:c r="F8" s="169" t="n">
        <x:f>SUM(E6:E8)</x:f>
        <x:v>0</x:v>
      </x:c>
      <x:c r="G8" s="179" t="str">
        <x:f>IF(A8&lt;DATE(2026,8,1),"Historical vessel list not backfilled",IF(A8=DATE(2026,8,1),"Live Aratu capture","Forward / update pending"))</x:f>
        <x:v>Historical vessel list not backfilled</x:v>
      </x:c>
      <x:c r="H8" s="169"/>
      <x:c r="I8" s="179" t="str">
        <x:f>IF(A8&lt;DATE(2026,8,1),"",IF(C8&gt;0,IF(B8&gt;0,"Future + third-party coexisting","Third-party only"),IF(B8&gt;0,"Future only","No tracked arrivals")))</x:f>
      </x:c>
      <x:c r="J8" s="179" t="str">
        <x:f>IF(A8=DATE(2026,8,1),"Completed + near-forward CODEBA data in Arrivals tab; ANP historical monthly backfill pending.","")</x:f>
      </x:c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78" t="n">
        <x:v>45474</x:v>
      </x:c>
      <x:c r="B9" s="169" t="n">
        <x:f>SUMIFS(Arrivals!$G$3:$G$1000,Arrivals!$A$3:$A$1000,"&gt;="&amp;A9,Arrivals!$A$3:$A$1000,"&lt;"&amp;DATE(YEAR(A9),MONTH(A9)+1,1),Arrivals!$D$3:$D$1000,"Completed",Arrivals!$J$3:$J$1000,"Future LR1")</x:f>
        <x:v>0</x:v>
      </x:c>
      <x:c r="C9" s="169" t="n">
        <x:f>SUMIFS(Arrivals!$G$3:$G$1000,Arrivals!$A$3:$A$1000,"&gt;="&amp;A9,Arrivals!$A$3:$A$1000,"&lt;"&amp;DATE(YEAR(A9),MONTH(A9)+1,1),Arrivals!$D$3:$D$1000,"Completed",Arrivals!$J$3:$J$1000,"Third-party")</x:f>
        <x:v>0</x:v>
      </x:c>
      <x:c r="D9" s="169" t="n">
        <x:f>SUMIFS(Arrivals!$G$3:$G$1000,Arrivals!$A$3:$A$1000,"&gt;="&amp;A9,Arrivals!$A$3:$A$1000,"&lt;"&amp;EDATE(A9,1),Arrivals!$D$3:$D$1000,"Scheduled")+SUMIFS(Arrivals!$G$3:$G$1000,Arrivals!$A$3:$A$1000,"&gt;="&amp;A9,Arrivals!$A$3:$A$1000,"&lt;"&amp;EDATE(A9,1),Arrivals!$D$3:$D$1000,"Berthed / Discharging")+SUMIFS(Arrivals!$G$3:$G$1000,Arrivals!$A$3:$A$1000,"&gt;="&amp;A9,Arrivals!$A$3:$A$1000,"&lt;"&amp;EDATE(A9,1),Arrivals!$D$3:$D$1000,"Anchored / Awaiting berth")</x:f>
        <x:v>0</x:v>
      </x:c>
      <x:c r="E9" s="169" t="n">
        <x:f>SUM(B9:D9)</x:f>
        <x:v>0</x:v>
      </x:c>
      <x:c r="F9" s="169" t="n">
        <x:f>SUM(E7:E9)</x:f>
        <x:v>0</x:v>
      </x:c>
      <x:c r="G9" s="179" t="str">
        <x:f>IF(A9&lt;DATE(2026,8,1),"Historical vessel list not backfilled",IF(A9=DATE(2026,8,1),"Live Aratu capture","Forward / update pending"))</x:f>
        <x:v>Historical vessel list not backfilled</x:v>
      </x:c>
      <x:c r="H9" s="169"/>
      <x:c r="I9" s="179" t="str">
        <x:f>IF(A9&lt;DATE(2026,8,1),"",IF(C9&gt;0,IF(B9&gt;0,"Future + third-party coexisting","Third-party only"),IF(B9&gt;0,"Future only","No tracked arrivals")))</x:f>
      </x:c>
      <x:c r="J9" s="179" t="str">
        <x:f>IF(A9=DATE(2026,8,1),"Completed + near-forward CODEBA data in Arrivals tab; ANP historical monthly backfill pending.","")</x:f>
      </x:c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78" t="n">
        <x:v>45505</x:v>
      </x:c>
      <x:c r="B10" s="169" t="n">
        <x:f>SUMIFS(Arrivals!$G$3:$G$1000,Arrivals!$A$3:$A$1000,"&gt;="&amp;A10,Arrivals!$A$3:$A$1000,"&lt;"&amp;DATE(YEAR(A10),MONTH(A10)+1,1),Arrivals!$D$3:$D$1000,"Completed",Arrivals!$J$3:$J$1000,"Future LR1")</x:f>
        <x:v>0</x:v>
      </x:c>
      <x:c r="C10" s="169" t="n">
        <x:f>SUMIFS(Arrivals!$G$3:$G$1000,Arrivals!$A$3:$A$1000,"&gt;="&amp;A10,Arrivals!$A$3:$A$1000,"&lt;"&amp;DATE(YEAR(A10),MONTH(A10)+1,1),Arrivals!$D$3:$D$1000,"Completed",Arrivals!$J$3:$J$1000,"Third-party")</x:f>
        <x:v>0</x:v>
      </x:c>
      <x:c r="D10" s="169" t="n">
        <x:f>SUMIFS(Arrivals!$G$3:$G$1000,Arrivals!$A$3:$A$1000,"&gt;="&amp;A10,Arrivals!$A$3:$A$1000,"&lt;"&amp;EDATE(A10,1),Arrivals!$D$3:$D$1000,"Scheduled")+SUMIFS(Arrivals!$G$3:$G$1000,Arrivals!$A$3:$A$1000,"&gt;="&amp;A10,Arrivals!$A$3:$A$1000,"&lt;"&amp;EDATE(A10,1),Arrivals!$D$3:$D$1000,"Berthed / Discharging")+SUMIFS(Arrivals!$G$3:$G$1000,Arrivals!$A$3:$A$1000,"&gt;="&amp;A10,Arrivals!$A$3:$A$1000,"&lt;"&amp;EDATE(A10,1),Arrivals!$D$3:$D$1000,"Anchored / Awaiting berth")</x:f>
        <x:v>0</x:v>
      </x:c>
      <x:c r="E10" s="169" t="n">
        <x:f>SUM(B10:D10)</x:f>
        <x:v>0</x:v>
      </x:c>
      <x:c r="F10" s="169" t="n">
        <x:f>SUM(E8:E10)</x:f>
        <x:v>0</x:v>
      </x:c>
      <x:c r="G10" s="179" t="str">
        <x:f>IF(A10&lt;DATE(2026,8,1),"Historical vessel list not backfilled",IF(A10=DATE(2026,8,1),"Live Aratu capture","Forward / update pending"))</x:f>
        <x:v>Historical vessel list not backfilled</x:v>
      </x:c>
      <x:c r="H10" s="169"/>
      <x:c r="I10" s="179" t="str">
        <x:f>IF(A10&lt;DATE(2026,8,1),"",IF(C10&gt;0,IF(B10&gt;0,"Future + third-party coexisting","Third-party only"),IF(B10&gt;0,"Future only","No tracked arrivals")))</x:f>
      </x:c>
      <x:c r="J10" s="179" t="str">
        <x:f>IF(A10=DATE(2026,8,1),"Completed + near-forward CODEBA data in Arrivals tab; ANP historical monthly backfill pending.","")</x:f>
      </x:c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8" t="n">
        <x:v>45536</x:v>
      </x:c>
      <x:c r="B11" s="169" t="n">
        <x:f>SUMIFS(Arrivals!$G$3:$G$1000,Arrivals!$A$3:$A$1000,"&gt;="&amp;A11,Arrivals!$A$3:$A$1000,"&lt;"&amp;DATE(YEAR(A11),MONTH(A11)+1,1),Arrivals!$D$3:$D$1000,"Completed",Arrivals!$J$3:$J$1000,"Future LR1")</x:f>
        <x:v>0</x:v>
      </x:c>
      <x:c r="C11" s="169" t="n">
        <x:f>SUMIFS(Arrivals!$G$3:$G$1000,Arrivals!$A$3:$A$1000,"&gt;="&amp;A11,Arrivals!$A$3:$A$1000,"&lt;"&amp;DATE(YEAR(A11),MONTH(A11)+1,1),Arrivals!$D$3:$D$1000,"Completed",Arrivals!$J$3:$J$1000,"Third-party")</x:f>
        <x:v>0</x:v>
      </x:c>
      <x:c r="D11" s="169" t="n">
        <x:f>SUMIFS(Arrivals!$G$3:$G$1000,Arrivals!$A$3:$A$1000,"&gt;="&amp;A11,Arrivals!$A$3:$A$1000,"&lt;"&amp;EDATE(A11,1),Arrivals!$D$3:$D$1000,"Scheduled")+SUMIFS(Arrivals!$G$3:$G$1000,Arrivals!$A$3:$A$1000,"&gt;="&amp;A11,Arrivals!$A$3:$A$1000,"&lt;"&amp;EDATE(A11,1),Arrivals!$D$3:$D$1000,"Berthed / Discharging")+SUMIFS(Arrivals!$G$3:$G$1000,Arrivals!$A$3:$A$1000,"&gt;="&amp;A11,Arrivals!$A$3:$A$1000,"&lt;"&amp;EDATE(A11,1),Arrivals!$D$3:$D$1000,"Anchored / Awaiting berth")</x:f>
        <x:v>0</x:v>
      </x:c>
      <x:c r="E11" s="169" t="n">
        <x:f>SUM(B11:D11)</x:f>
        <x:v>0</x:v>
      </x:c>
      <x:c r="F11" s="169" t="n">
        <x:f>SUM(E9:E11)</x:f>
        <x:v>0</x:v>
      </x:c>
      <x:c r="G11" s="179" t="str">
        <x:f>IF(A11&lt;DATE(2026,8,1),"Historical vessel list not backfilled",IF(A11=DATE(2026,8,1),"Live Aratu capture","Forward / update pending"))</x:f>
        <x:v>Historical vessel list not backfilled</x:v>
      </x:c>
      <x:c r="H11" s="169"/>
      <x:c r="I11" s="179" t="str">
        <x:f>IF(A11&lt;DATE(2026,8,1),"",IF(C11&gt;0,IF(B11&gt;0,"Future + third-party coexisting","Third-party only"),IF(B11&gt;0,"Future only","No tracked arrivals")))</x:f>
      </x:c>
      <x:c r="J11" s="179" t="str">
        <x:f>IF(A11=DATE(2026,8,1),"Completed + near-forward CODEBA data in Arrivals tab; ANP historical monthly backfill pending.","")</x:f>
      </x:c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78" t="n">
        <x:v>45566</x:v>
      </x:c>
      <x:c r="B12" s="169" t="n">
        <x:f>SUMIFS(Arrivals!$G$3:$G$1000,Arrivals!$A$3:$A$1000,"&gt;="&amp;A12,Arrivals!$A$3:$A$1000,"&lt;"&amp;DATE(YEAR(A12),MONTH(A12)+1,1),Arrivals!$D$3:$D$1000,"Completed",Arrivals!$J$3:$J$1000,"Future LR1")</x:f>
        <x:v>0</x:v>
      </x:c>
      <x:c r="C12" s="169" t="n">
        <x:f>SUMIFS(Arrivals!$G$3:$G$1000,Arrivals!$A$3:$A$1000,"&gt;="&amp;A12,Arrivals!$A$3:$A$1000,"&lt;"&amp;DATE(YEAR(A12),MONTH(A12)+1,1),Arrivals!$D$3:$D$1000,"Completed",Arrivals!$J$3:$J$1000,"Third-party")</x:f>
        <x:v>0</x:v>
      </x:c>
      <x:c r="D12" s="169" t="n">
        <x:f>SUMIFS(Arrivals!$G$3:$G$1000,Arrivals!$A$3:$A$1000,"&gt;="&amp;A12,Arrivals!$A$3:$A$1000,"&lt;"&amp;EDATE(A12,1),Arrivals!$D$3:$D$1000,"Scheduled")+SUMIFS(Arrivals!$G$3:$G$1000,Arrivals!$A$3:$A$1000,"&gt;="&amp;A12,Arrivals!$A$3:$A$1000,"&lt;"&amp;EDATE(A12,1),Arrivals!$D$3:$D$1000,"Berthed / Discharging")+SUMIFS(Arrivals!$G$3:$G$1000,Arrivals!$A$3:$A$1000,"&gt;="&amp;A12,Arrivals!$A$3:$A$1000,"&lt;"&amp;EDATE(A12,1),Arrivals!$D$3:$D$1000,"Anchored / Awaiting berth")</x:f>
        <x:v>0</x:v>
      </x:c>
      <x:c r="E12" s="169" t="n">
        <x:f>SUM(B12:D12)</x:f>
        <x:v>0</x:v>
      </x:c>
      <x:c r="F12" s="169" t="n">
        <x:f>SUM(E10:E12)</x:f>
        <x:v>0</x:v>
      </x:c>
      <x:c r="G12" s="179" t="str">
        <x:f>IF(A12&lt;DATE(2026,8,1),"Historical vessel list not backfilled",IF(A12=DATE(2026,8,1),"Live Aratu capture","Forward / update pending"))</x:f>
        <x:v>Historical vessel list not backfilled</x:v>
      </x:c>
      <x:c r="H12" s="169"/>
      <x:c r="I12" s="179" t="str">
        <x:f>IF(A12&lt;DATE(2026,8,1),"",IF(C12&gt;0,IF(B12&gt;0,"Future + third-party coexisting","Third-party only"),IF(B12&gt;0,"Future only","No tracked arrivals")))</x:f>
      </x:c>
      <x:c r="J12" s="179" t="str">
        <x:f>IF(A12=DATE(2026,8,1),"Completed + near-forward CODEBA data in Arrivals tab; ANP historical monthly backfill pending.","")</x:f>
      </x:c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8" t="n">
        <x:v>45597</x:v>
      </x:c>
      <x:c r="B13" s="169" t="n">
        <x:f>SUMIFS(Arrivals!$G$3:$G$1000,Arrivals!$A$3:$A$1000,"&gt;="&amp;A13,Arrivals!$A$3:$A$1000,"&lt;"&amp;DATE(YEAR(A13),MONTH(A13)+1,1),Arrivals!$D$3:$D$1000,"Completed",Arrivals!$J$3:$J$1000,"Future LR1")</x:f>
        <x:v>0</x:v>
      </x:c>
      <x:c r="C13" s="169" t="n">
        <x:f>SUMIFS(Arrivals!$G$3:$G$1000,Arrivals!$A$3:$A$1000,"&gt;="&amp;A13,Arrivals!$A$3:$A$1000,"&lt;"&amp;DATE(YEAR(A13),MONTH(A13)+1,1),Arrivals!$D$3:$D$1000,"Completed",Arrivals!$J$3:$J$1000,"Third-party")</x:f>
        <x:v>0</x:v>
      </x:c>
      <x:c r="D13" s="169" t="n">
        <x:f>SUMIFS(Arrivals!$G$3:$G$1000,Arrivals!$A$3:$A$1000,"&gt;="&amp;A13,Arrivals!$A$3:$A$1000,"&lt;"&amp;EDATE(A13,1),Arrivals!$D$3:$D$1000,"Scheduled")+SUMIFS(Arrivals!$G$3:$G$1000,Arrivals!$A$3:$A$1000,"&gt;="&amp;A13,Arrivals!$A$3:$A$1000,"&lt;"&amp;EDATE(A13,1),Arrivals!$D$3:$D$1000,"Berthed / Discharging")+SUMIFS(Arrivals!$G$3:$G$1000,Arrivals!$A$3:$A$1000,"&gt;="&amp;A13,Arrivals!$A$3:$A$1000,"&lt;"&amp;EDATE(A13,1),Arrivals!$D$3:$D$1000,"Anchored / Awaiting berth")</x:f>
        <x:v>0</x:v>
      </x:c>
      <x:c r="E13" s="169" t="n">
        <x:f>SUM(B13:D13)</x:f>
        <x:v>0</x:v>
      </x:c>
      <x:c r="F13" s="169" t="n">
        <x:f>SUM(E11:E13)</x:f>
        <x:v>0</x:v>
      </x:c>
      <x:c r="G13" s="179" t="str">
        <x:f>IF(A13&lt;DATE(2026,8,1),"Historical vessel list not backfilled",IF(A13=DATE(2026,8,1),"Live Aratu capture","Forward / update pending"))</x:f>
        <x:v>Historical vessel list not backfilled</x:v>
      </x:c>
      <x:c r="H13" s="169"/>
      <x:c r="I13" s="179" t="str">
        <x:f>IF(A13&lt;DATE(2026,8,1),"",IF(C13&gt;0,IF(B13&gt;0,"Future + third-party coexisting","Third-party only"),IF(B13&gt;0,"Future only","No tracked arrivals")))</x:f>
      </x:c>
      <x:c r="J13" s="179" t="str">
        <x:f>IF(A13=DATE(2026,8,1),"Completed + near-forward CODEBA data in Arrivals tab; ANP historical monthly backfill pending.","")</x:f>
      </x:c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8" t="n">
        <x:v>45627</x:v>
      </x:c>
      <x:c r="B14" s="169" t="n">
        <x:f>SUMIFS(Arrivals!$G$3:$G$1000,Arrivals!$A$3:$A$1000,"&gt;="&amp;A14,Arrivals!$A$3:$A$1000,"&lt;"&amp;DATE(YEAR(A14),MONTH(A14)+1,1),Arrivals!$D$3:$D$1000,"Completed",Arrivals!$J$3:$J$1000,"Future LR1")</x:f>
        <x:v>0</x:v>
      </x:c>
      <x:c r="C14" s="169" t="n">
        <x:f>SUMIFS(Arrivals!$G$3:$G$1000,Arrivals!$A$3:$A$1000,"&gt;="&amp;A14,Arrivals!$A$3:$A$1000,"&lt;"&amp;DATE(YEAR(A14),MONTH(A14)+1,1),Arrivals!$D$3:$D$1000,"Completed",Arrivals!$J$3:$J$1000,"Third-party")</x:f>
        <x:v>0</x:v>
      </x:c>
      <x:c r="D14" s="169" t="n">
        <x:f>SUMIFS(Arrivals!$G$3:$G$1000,Arrivals!$A$3:$A$1000,"&gt;="&amp;A14,Arrivals!$A$3:$A$1000,"&lt;"&amp;EDATE(A14,1),Arrivals!$D$3:$D$1000,"Scheduled")+SUMIFS(Arrivals!$G$3:$G$1000,Arrivals!$A$3:$A$1000,"&gt;="&amp;A14,Arrivals!$A$3:$A$1000,"&lt;"&amp;EDATE(A14,1),Arrivals!$D$3:$D$1000,"Berthed / Discharging")+SUMIFS(Arrivals!$G$3:$G$1000,Arrivals!$A$3:$A$1000,"&gt;="&amp;A14,Arrivals!$A$3:$A$1000,"&lt;"&amp;EDATE(A14,1),Arrivals!$D$3:$D$1000,"Anchored / Awaiting berth")</x:f>
        <x:v>0</x:v>
      </x:c>
      <x:c r="E14" s="169" t="n">
        <x:f>SUM(B14:D14)</x:f>
        <x:v>0</x:v>
      </x:c>
      <x:c r="F14" s="169" t="n">
        <x:f>SUM(E12:E14)</x:f>
        <x:v>0</x:v>
      </x:c>
      <x:c r="G14" s="179" t="str">
        <x:f>IF(A14&lt;DATE(2026,8,1),"Historical vessel list not backfilled",IF(A14=DATE(2026,8,1),"Live Aratu capture","Forward / update pending"))</x:f>
        <x:v>Historical vessel list not backfilled</x:v>
      </x:c>
      <x:c r="H14" s="169"/>
      <x:c r="I14" s="179" t="str">
        <x:f>IF(A14&lt;DATE(2026,8,1),"",IF(C14&gt;0,IF(B14&gt;0,"Future + third-party coexisting","Third-party only"),IF(B14&gt;0,"Future only","No tracked arrivals")))</x:f>
      </x:c>
      <x:c r="J14" s="179" t="str">
        <x:f>IF(A14=DATE(2026,8,1),"Completed + near-forward CODEBA data in Arrivals tab; ANP historical monthly backfill pending.","")</x:f>
      </x:c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8" t="n">
        <x:v>45658</x:v>
      </x:c>
      <x:c r="B15" s="169" t="n">
        <x:f>SUMIFS(Arrivals!$G$3:$G$1000,Arrivals!$A$3:$A$1000,"&gt;="&amp;A15,Arrivals!$A$3:$A$1000,"&lt;"&amp;DATE(YEAR(A15),MONTH(A15)+1,1),Arrivals!$D$3:$D$1000,"Completed",Arrivals!$J$3:$J$1000,"Future LR1")</x:f>
        <x:v>0</x:v>
      </x:c>
      <x:c r="C15" s="169" t="n">
        <x:f>SUMIFS(Arrivals!$G$3:$G$1000,Arrivals!$A$3:$A$1000,"&gt;="&amp;A15,Arrivals!$A$3:$A$1000,"&lt;"&amp;DATE(YEAR(A15),MONTH(A15)+1,1),Arrivals!$D$3:$D$1000,"Completed",Arrivals!$J$3:$J$1000,"Third-party")</x:f>
        <x:v>0</x:v>
      </x:c>
      <x:c r="D15" s="169" t="n">
        <x:f>SUMIFS(Arrivals!$G$3:$G$1000,Arrivals!$A$3:$A$1000,"&gt;="&amp;A15,Arrivals!$A$3:$A$1000,"&lt;"&amp;EDATE(A15,1),Arrivals!$D$3:$D$1000,"Scheduled")+SUMIFS(Arrivals!$G$3:$G$1000,Arrivals!$A$3:$A$1000,"&gt;="&amp;A15,Arrivals!$A$3:$A$1000,"&lt;"&amp;EDATE(A15,1),Arrivals!$D$3:$D$1000,"Berthed / Discharging")+SUMIFS(Arrivals!$G$3:$G$1000,Arrivals!$A$3:$A$1000,"&gt;="&amp;A15,Arrivals!$A$3:$A$1000,"&lt;"&amp;EDATE(A15,1),Arrivals!$D$3:$D$1000,"Anchored / Awaiting berth")</x:f>
        <x:v>0</x:v>
      </x:c>
      <x:c r="E15" s="169" t="n">
        <x:f>SUM(B15:D15)</x:f>
        <x:v>0</x:v>
      </x:c>
      <x:c r="F15" s="169" t="n">
        <x:f>SUM(E13:E15)</x:f>
        <x:v>0</x:v>
      </x:c>
      <x:c r="G15" s="179" t="str">
        <x:f>IF(A15&lt;DATE(2026,8,1),"Historical vessel list not backfilled",IF(A15=DATE(2026,8,1),"Live Aratu capture","Forward / update pending"))</x:f>
        <x:v>Historical vessel list not backfilled</x:v>
      </x:c>
      <x:c r="H15" s="169"/>
      <x:c r="I15" s="179" t="str">
        <x:f>IF(A15&lt;DATE(2026,8,1),"",IF(C15&gt;0,IF(B15&gt;0,"Future + third-party coexisting","Third-party only"),IF(B15&gt;0,"Future only","No tracked arrivals")))</x:f>
      </x:c>
      <x:c r="J15" s="179" t="str">
        <x:f>IF(A15=DATE(2026,8,1),"Completed + near-forward CODEBA data in Arrivals tab; ANP historical monthly backfill pending.","")</x:f>
      </x:c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78" t="n">
        <x:v>45689</x:v>
      </x:c>
      <x:c r="B16" s="169" t="n">
        <x:f>SUMIFS(Arrivals!$G$3:$G$1000,Arrivals!$A$3:$A$1000,"&gt;="&amp;A16,Arrivals!$A$3:$A$1000,"&lt;"&amp;DATE(YEAR(A16),MONTH(A16)+1,1),Arrivals!$D$3:$D$1000,"Completed",Arrivals!$J$3:$J$1000,"Future LR1")</x:f>
        <x:v>0</x:v>
      </x:c>
      <x:c r="C16" s="169" t="n">
        <x:f>SUMIFS(Arrivals!$G$3:$G$1000,Arrivals!$A$3:$A$1000,"&gt;="&amp;A16,Arrivals!$A$3:$A$1000,"&lt;"&amp;DATE(YEAR(A16),MONTH(A16)+1,1),Arrivals!$D$3:$D$1000,"Completed",Arrivals!$J$3:$J$1000,"Third-party")</x:f>
        <x:v>0</x:v>
      </x:c>
      <x:c r="D16" s="169" t="n">
        <x:f>SUMIFS(Arrivals!$G$3:$G$1000,Arrivals!$A$3:$A$1000,"&gt;="&amp;A16,Arrivals!$A$3:$A$1000,"&lt;"&amp;EDATE(A16,1),Arrivals!$D$3:$D$1000,"Scheduled")+SUMIFS(Arrivals!$G$3:$G$1000,Arrivals!$A$3:$A$1000,"&gt;="&amp;A16,Arrivals!$A$3:$A$1000,"&lt;"&amp;EDATE(A16,1),Arrivals!$D$3:$D$1000,"Berthed / Discharging")+SUMIFS(Arrivals!$G$3:$G$1000,Arrivals!$A$3:$A$1000,"&gt;="&amp;A16,Arrivals!$A$3:$A$1000,"&lt;"&amp;EDATE(A16,1),Arrivals!$D$3:$D$1000,"Anchored / Awaiting berth")</x:f>
        <x:v>0</x:v>
      </x:c>
      <x:c r="E16" s="169" t="n">
        <x:f>SUM(B16:D16)</x:f>
        <x:v>0</x:v>
      </x:c>
      <x:c r="F16" s="169" t="n">
        <x:f>SUM(E14:E16)</x:f>
        <x:v>0</x:v>
      </x:c>
      <x:c r="G16" s="179" t="str">
        <x:f>IF(A16&lt;DATE(2026,8,1),"Historical vessel list not backfilled",IF(A16=DATE(2026,8,1),"Live Aratu capture","Forward / update pending"))</x:f>
        <x:v>Historical vessel list not backfilled</x:v>
      </x:c>
      <x:c r="H16" s="169"/>
      <x:c r="I16" s="179" t="str">
        <x:f>IF(A16&lt;DATE(2026,8,1),"",IF(C16&gt;0,IF(B16&gt;0,"Future + third-party coexisting","Third-party only"),IF(B16&gt;0,"Future only","No tracked arrivals")))</x:f>
      </x:c>
      <x:c r="J16" s="179" t="str">
        <x:f>IF(A16=DATE(2026,8,1),"Completed + near-forward CODEBA data in Arrivals tab; ANP historical monthly backfill pending.","")</x:f>
      </x:c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78" t="n">
        <x:v>45717</x:v>
      </x:c>
      <x:c r="B17" s="169" t="n">
        <x:f>SUMIFS(Arrivals!$G$3:$G$1000,Arrivals!$A$3:$A$1000,"&gt;="&amp;A17,Arrivals!$A$3:$A$1000,"&lt;"&amp;DATE(YEAR(A17),MONTH(A17)+1,1),Arrivals!$D$3:$D$1000,"Completed",Arrivals!$J$3:$J$1000,"Future LR1")</x:f>
        <x:v>0</x:v>
      </x:c>
      <x:c r="C17" s="169" t="n">
        <x:f>SUMIFS(Arrivals!$G$3:$G$1000,Arrivals!$A$3:$A$1000,"&gt;="&amp;A17,Arrivals!$A$3:$A$1000,"&lt;"&amp;DATE(YEAR(A17),MONTH(A17)+1,1),Arrivals!$D$3:$D$1000,"Completed",Arrivals!$J$3:$J$1000,"Third-party")</x:f>
        <x:v>0</x:v>
      </x:c>
      <x:c r="D17" s="169" t="n">
        <x:f>SUMIFS(Arrivals!$G$3:$G$1000,Arrivals!$A$3:$A$1000,"&gt;="&amp;A17,Arrivals!$A$3:$A$1000,"&lt;"&amp;EDATE(A17,1),Arrivals!$D$3:$D$1000,"Scheduled")+SUMIFS(Arrivals!$G$3:$G$1000,Arrivals!$A$3:$A$1000,"&gt;="&amp;A17,Arrivals!$A$3:$A$1000,"&lt;"&amp;EDATE(A17,1),Arrivals!$D$3:$D$1000,"Berthed / Discharging")+SUMIFS(Arrivals!$G$3:$G$1000,Arrivals!$A$3:$A$1000,"&gt;="&amp;A17,Arrivals!$A$3:$A$1000,"&lt;"&amp;EDATE(A17,1),Arrivals!$D$3:$D$1000,"Anchored / Awaiting berth")</x:f>
        <x:v>0</x:v>
      </x:c>
      <x:c r="E17" s="169" t="n">
        <x:f>SUM(B17:D17)</x:f>
        <x:v>0</x:v>
      </x:c>
      <x:c r="F17" s="169" t="n">
        <x:f>SUM(E15:E17)</x:f>
        <x:v>0</x:v>
      </x:c>
      <x:c r="G17" s="179" t="str">
        <x:f>IF(A17&lt;DATE(2026,8,1),"Historical vessel list not backfilled",IF(A17=DATE(2026,8,1),"Live Aratu capture","Forward / update pending"))</x:f>
        <x:v>Historical vessel list not backfilled</x:v>
      </x:c>
      <x:c r="H17" s="169"/>
      <x:c r="I17" s="179" t="str">
        <x:f>IF(A17&lt;DATE(2026,8,1),"",IF(C17&gt;0,IF(B17&gt;0,"Future + third-party coexisting","Third-party only"),IF(B17&gt;0,"Future only","No tracked arrivals")))</x:f>
      </x:c>
      <x:c r="J17" s="179" t="str">
        <x:f>IF(A17=DATE(2026,8,1),"Completed + near-forward CODEBA data in Arrivals tab; ANP historical monthly backfill pending.","")</x:f>
      </x:c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78" t="n">
        <x:v>45748</x:v>
      </x:c>
      <x:c r="B18" s="169" t="n">
        <x:f>SUMIFS(Arrivals!$G$3:$G$1000,Arrivals!$A$3:$A$1000,"&gt;="&amp;A18,Arrivals!$A$3:$A$1000,"&lt;"&amp;DATE(YEAR(A18),MONTH(A18)+1,1),Arrivals!$D$3:$D$1000,"Completed",Arrivals!$J$3:$J$1000,"Future LR1")</x:f>
        <x:v>0</x:v>
      </x:c>
      <x:c r="C18" s="169" t="n">
        <x:f>SUMIFS(Arrivals!$G$3:$G$1000,Arrivals!$A$3:$A$1000,"&gt;="&amp;A18,Arrivals!$A$3:$A$1000,"&lt;"&amp;DATE(YEAR(A18),MONTH(A18)+1,1),Arrivals!$D$3:$D$1000,"Completed",Arrivals!$J$3:$J$1000,"Third-party")</x:f>
        <x:v>0</x:v>
      </x:c>
      <x:c r="D18" s="169" t="n">
        <x:f>SUMIFS(Arrivals!$G$3:$G$1000,Arrivals!$A$3:$A$1000,"&gt;="&amp;A18,Arrivals!$A$3:$A$1000,"&lt;"&amp;EDATE(A18,1),Arrivals!$D$3:$D$1000,"Scheduled")+SUMIFS(Arrivals!$G$3:$G$1000,Arrivals!$A$3:$A$1000,"&gt;="&amp;A18,Arrivals!$A$3:$A$1000,"&lt;"&amp;EDATE(A18,1),Arrivals!$D$3:$D$1000,"Berthed / Discharging")+SUMIFS(Arrivals!$G$3:$G$1000,Arrivals!$A$3:$A$1000,"&gt;="&amp;A18,Arrivals!$A$3:$A$1000,"&lt;"&amp;EDATE(A18,1),Arrivals!$D$3:$D$1000,"Anchored / Awaiting berth")</x:f>
        <x:v>0</x:v>
      </x:c>
      <x:c r="E18" s="169" t="n">
        <x:f>SUM(B18:D18)</x:f>
        <x:v>0</x:v>
      </x:c>
      <x:c r="F18" s="169" t="n">
        <x:f>SUM(E16:E18)</x:f>
        <x:v>0</x:v>
      </x:c>
      <x:c r="G18" s="179" t="str">
        <x:f>IF(A18&lt;DATE(2026,8,1),"Historical vessel list not backfilled",IF(A18=DATE(2026,8,1),"Live Aratu capture","Forward / update pending"))</x:f>
        <x:v>Historical vessel list not backfilled</x:v>
      </x:c>
      <x:c r="H18" s="169"/>
      <x:c r="I18" s="179" t="str">
        <x:f>IF(A18&lt;DATE(2026,8,1),"",IF(C18&gt;0,IF(B18&gt;0,"Future + third-party coexisting","Third-party only"),IF(B18&gt;0,"Future only","No tracked arrivals")))</x:f>
      </x:c>
      <x:c r="J18" s="179" t="str">
        <x:f>IF(A18=DATE(2026,8,1),"Completed + near-forward CODEBA data in Arrivals tab; ANP historical monthly backfill pending.","")</x:f>
      </x:c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78" t="n">
        <x:v>45778</x:v>
      </x:c>
      <x:c r="B19" s="169" t="n">
        <x:f>SUMIFS(Arrivals!$G$3:$G$1000,Arrivals!$A$3:$A$1000,"&gt;="&amp;A19,Arrivals!$A$3:$A$1000,"&lt;"&amp;DATE(YEAR(A19),MONTH(A19)+1,1),Arrivals!$D$3:$D$1000,"Completed",Arrivals!$J$3:$J$1000,"Future LR1")</x:f>
        <x:v>0</x:v>
      </x:c>
      <x:c r="C19" s="169" t="n">
        <x:f>SUMIFS(Arrivals!$G$3:$G$1000,Arrivals!$A$3:$A$1000,"&gt;="&amp;A19,Arrivals!$A$3:$A$1000,"&lt;"&amp;DATE(YEAR(A19),MONTH(A19)+1,1),Arrivals!$D$3:$D$1000,"Completed",Arrivals!$J$3:$J$1000,"Third-party")</x:f>
        <x:v>0</x:v>
      </x:c>
      <x:c r="D19" s="169" t="n">
        <x:f>SUMIFS(Arrivals!$G$3:$G$1000,Arrivals!$A$3:$A$1000,"&gt;="&amp;A19,Arrivals!$A$3:$A$1000,"&lt;"&amp;EDATE(A19,1),Arrivals!$D$3:$D$1000,"Scheduled")+SUMIFS(Arrivals!$G$3:$G$1000,Arrivals!$A$3:$A$1000,"&gt;="&amp;A19,Arrivals!$A$3:$A$1000,"&lt;"&amp;EDATE(A19,1),Arrivals!$D$3:$D$1000,"Berthed / Discharging")+SUMIFS(Arrivals!$G$3:$G$1000,Arrivals!$A$3:$A$1000,"&gt;="&amp;A19,Arrivals!$A$3:$A$1000,"&lt;"&amp;EDATE(A19,1),Arrivals!$D$3:$D$1000,"Anchored / Awaiting berth")</x:f>
        <x:v>0</x:v>
      </x:c>
      <x:c r="E19" s="169" t="n">
        <x:f>SUM(B19:D19)</x:f>
        <x:v>0</x:v>
      </x:c>
      <x:c r="F19" s="169" t="n">
        <x:f>SUM(E17:E19)</x:f>
        <x:v>0</x:v>
      </x:c>
      <x:c r="G19" s="179" t="str">
        <x:f>IF(A19&lt;DATE(2026,8,1),"Historical vessel list not backfilled",IF(A19=DATE(2026,8,1),"Live Aratu capture","Forward / update pending"))</x:f>
        <x:v>Historical vessel list not backfilled</x:v>
      </x:c>
      <x:c r="H19" s="169"/>
      <x:c r="I19" s="179" t="str">
        <x:f>IF(A19&lt;DATE(2026,8,1),"",IF(C19&gt;0,IF(B19&gt;0,"Future + third-party coexisting","Third-party only"),IF(B19&gt;0,"Future only","No tracked arrivals")))</x:f>
      </x:c>
      <x:c r="J19" s="179" t="str">
        <x:f>IF(A19=DATE(2026,8,1),"Completed + near-forward CODEBA data in Arrivals tab; ANP historical monthly backfill pending.","")</x:f>
      </x:c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78" t="n">
        <x:v>45809</x:v>
      </x:c>
      <x:c r="B20" s="169" t="n">
        <x:f>SUMIFS(Arrivals!$G$3:$G$1000,Arrivals!$A$3:$A$1000,"&gt;="&amp;A20,Arrivals!$A$3:$A$1000,"&lt;"&amp;DATE(YEAR(A20),MONTH(A20)+1,1),Arrivals!$D$3:$D$1000,"Completed",Arrivals!$J$3:$J$1000,"Future LR1")</x:f>
        <x:v>0</x:v>
      </x:c>
      <x:c r="C20" s="169" t="n">
        <x:f>SUMIFS(Arrivals!$G$3:$G$1000,Arrivals!$A$3:$A$1000,"&gt;="&amp;A20,Arrivals!$A$3:$A$1000,"&lt;"&amp;DATE(YEAR(A20),MONTH(A20)+1,1),Arrivals!$D$3:$D$1000,"Completed",Arrivals!$J$3:$J$1000,"Third-party")</x:f>
        <x:v>0</x:v>
      </x:c>
      <x:c r="D20" s="169" t="n">
        <x:f>SUMIFS(Arrivals!$G$3:$G$1000,Arrivals!$A$3:$A$1000,"&gt;="&amp;A20,Arrivals!$A$3:$A$1000,"&lt;"&amp;EDATE(A20,1),Arrivals!$D$3:$D$1000,"Scheduled")+SUMIFS(Arrivals!$G$3:$G$1000,Arrivals!$A$3:$A$1000,"&gt;="&amp;A20,Arrivals!$A$3:$A$1000,"&lt;"&amp;EDATE(A20,1),Arrivals!$D$3:$D$1000,"Berthed / Discharging")+SUMIFS(Arrivals!$G$3:$G$1000,Arrivals!$A$3:$A$1000,"&gt;="&amp;A20,Arrivals!$A$3:$A$1000,"&lt;"&amp;EDATE(A20,1),Arrivals!$D$3:$D$1000,"Anchored / Awaiting berth")</x:f>
        <x:v>0</x:v>
      </x:c>
      <x:c r="E20" s="169" t="n">
        <x:f>SUM(B20:D20)</x:f>
        <x:v>0</x:v>
      </x:c>
      <x:c r="F20" s="169" t="n">
        <x:f>SUM(E18:E20)</x:f>
        <x:v>0</x:v>
      </x:c>
      <x:c r="G20" s="179" t="str">
        <x:f>IF(A20&lt;DATE(2026,8,1),"Historical vessel list not backfilled",IF(A20=DATE(2026,8,1),"Live Aratu capture","Forward / update pending"))</x:f>
        <x:v>Historical vessel list not backfilled</x:v>
      </x:c>
      <x:c r="H20" s="169"/>
      <x:c r="I20" s="179" t="str">
        <x:f>IF(A20&lt;DATE(2026,8,1),"",IF(C20&gt;0,IF(B20&gt;0,"Future + third-party coexisting","Third-party only"),IF(B20&gt;0,"Future only","No tracked arrivals")))</x:f>
      </x:c>
      <x:c r="J20" s="179" t="str">
        <x:f>IF(A20=DATE(2026,8,1),"Completed + near-forward CODEBA data in Arrivals tab; ANP historical monthly backfill pending.","")</x:f>
      </x:c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78" t="n">
        <x:v>45839</x:v>
      </x:c>
      <x:c r="B21" s="169" t="n">
        <x:f>SUMIFS(Arrivals!$G$3:$G$1000,Arrivals!$A$3:$A$1000,"&gt;="&amp;A21,Arrivals!$A$3:$A$1000,"&lt;"&amp;DATE(YEAR(A21),MONTH(A21)+1,1),Arrivals!$D$3:$D$1000,"Completed",Arrivals!$J$3:$J$1000,"Future LR1")</x:f>
        <x:v>0</x:v>
      </x:c>
      <x:c r="C21" s="169" t="n">
        <x:f>SUMIFS(Arrivals!$G$3:$G$1000,Arrivals!$A$3:$A$1000,"&gt;="&amp;A21,Arrivals!$A$3:$A$1000,"&lt;"&amp;DATE(YEAR(A21),MONTH(A21)+1,1),Arrivals!$D$3:$D$1000,"Completed",Arrivals!$J$3:$J$1000,"Third-party")</x:f>
        <x:v>0</x:v>
      </x:c>
      <x:c r="D21" s="169" t="n">
        <x:f>SUMIFS(Arrivals!$G$3:$G$1000,Arrivals!$A$3:$A$1000,"&gt;="&amp;A21,Arrivals!$A$3:$A$1000,"&lt;"&amp;EDATE(A21,1),Arrivals!$D$3:$D$1000,"Scheduled")+SUMIFS(Arrivals!$G$3:$G$1000,Arrivals!$A$3:$A$1000,"&gt;="&amp;A21,Arrivals!$A$3:$A$1000,"&lt;"&amp;EDATE(A21,1),Arrivals!$D$3:$D$1000,"Berthed / Discharging")+SUMIFS(Arrivals!$G$3:$G$1000,Arrivals!$A$3:$A$1000,"&gt;="&amp;A21,Arrivals!$A$3:$A$1000,"&lt;"&amp;EDATE(A21,1),Arrivals!$D$3:$D$1000,"Anchored / Awaiting berth")</x:f>
        <x:v>0</x:v>
      </x:c>
      <x:c r="E21" s="169" t="n">
        <x:f>SUM(B21:D21)</x:f>
        <x:v>0</x:v>
      </x:c>
      <x:c r="F21" s="169" t="n">
        <x:f>SUM(E19:E21)</x:f>
        <x:v>0</x:v>
      </x:c>
      <x:c r="G21" s="179" t="str">
        <x:f>IF(A21&lt;DATE(2026,8,1),"Historical vessel list not backfilled",IF(A21=DATE(2026,8,1),"Live Aratu capture","Forward / update pending"))</x:f>
        <x:v>Historical vessel list not backfilled</x:v>
      </x:c>
      <x:c r="H21" s="169"/>
      <x:c r="I21" s="179" t="str">
        <x:f>IF(A21&lt;DATE(2026,8,1),"",IF(C21&gt;0,IF(B21&gt;0,"Future + third-party coexisting","Third-party only"),IF(B21&gt;0,"Future only","No tracked arrivals")))</x:f>
      </x:c>
      <x:c r="J21" s="179" t="str">
        <x:f>IF(A21=DATE(2026,8,1),"Completed + near-forward CODEBA data in Arrivals tab; ANP historical monthly backfill pending.","")</x:f>
      </x:c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78" t="n">
        <x:v>45870</x:v>
      </x:c>
      <x:c r="B22" s="169" t="n">
        <x:f>SUMIFS(Arrivals!$G$3:$G$1000,Arrivals!$A$3:$A$1000,"&gt;="&amp;A22,Arrivals!$A$3:$A$1000,"&lt;"&amp;DATE(YEAR(A22),MONTH(A22)+1,1),Arrivals!$D$3:$D$1000,"Completed",Arrivals!$J$3:$J$1000,"Future LR1")</x:f>
        <x:v>0</x:v>
      </x:c>
      <x:c r="C22" s="169" t="n">
        <x:f>SUMIFS(Arrivals!$G$3:$G$1000,Arrivals!$A$3:$A$1000,"&gt;="&amp;A22,Arrivals!$A$3:$A$1000,"&lt;"&amp;DATE(YEAR(A22),MONTH(A22)+1,1),Arrivals!$D$3:$D$1000,"Completed",Arrivals!$J$3:$J$1000,"Third-party")</x:f>
        <x:v>0</x:v>
      </x:c>
      <x:c r="D22" s="169" t="n">
        <x:f>SUMIFS(Arrivals!$G$3:$G$1000,Arrivals!$A$3:$A$1000,"&gt;="&amp;A22,Arrivals!$A$3:$A$1000,"&lt;"&amp;EDATE(A22,1),Arrivals!$D$3:$D$1000,"Scheduled")+SUMIFS(Arrivals!$G$3:$G$1000,Arrivals!$A$3:$A$1000,"&gt;="&amp;A22,Arrivals!$A$3:$A$1000,"&lt;"&amp;EDATE(A22,1),Arrivals!$D$3:$D$1000,"Berthed / Discharging")+SUMIFS(Arrivals!$G$3:$G$1000,Arrivals!$A$3:$A$1000,"&gt;="&amp;A22,Arrivals!$A$3:$A$1000,"&lt;"&amp;EDATE(A22,1),Arrivals!$D$3:$D$1000,"Anchored / Awaiting berth")</x:f>
        <x:v>0</x:v>
      </x:c>
      <x:c r="E22" s="169" t="n">
        <x:f>SUM(B22:D22)</x:f>
        <x:v>0</x:v>
      </x:c>
      <x:c r="F22" s="169" t="n">
        <x:f>SUM(E20:E22)</x:f>
        <x:v>0</x:v>
      </x:c>
      <x:c r="G22" s="179" t="str">
        <x:f>IF(A22&lt;DATE(2026,8,1),"Historical vessel list not backfilled",IF(A22=DATE(2026,8,1),"Live Aratu capture","Forward / update pending"))</x:f>
        <x:v>Historical vessel list not backfilled</x:v>
      </x:c>
      <x:c r="H22" s="169"/>
      <x:c r="I22" s="179" t="str">
        <x:f>IF(A22&lt;DATE(2026,8,1),"",IF(C22&gt;0,IF(B22&gt;0,"Future + third-party coexisting","Third-party only"),IF(B22&gt;0,"Future only","No tracked arrivals")))</x:f>
      </x:c>
      <x:c r="J22" s="179" t="str">
        <x:f>IF(A22=DATE(2026,8,1),"Completed + near-forward CODEBA data in Arrivals tab; ANP historical monthly backfill pending.","")</x:f>
      </x:c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78" t="n">
        <x:v>45901</x:v>
      </x:c>
      <x:c r="B23" s="169" t="n">
        <x:f>SUMIFS(Arrivals!$G$3:$G$1000,Arrivals!$A$3:$A$1000,"&gt;="&amp;A23,Arrivals!$A$3:$A$1000,"&lt;"&amp;DATE(YEAR(A23),MONTH(A23)+1,1),Arrivals!$D$3:$D$1000,"Completed",Arrivals!$J$3:$J$1000,"Future LR1")</x:f>
        <x:v>0</x:v>
      </x:c>
      <x:c r="C23" s="169" t="n">
        <x:f>SUMIFS(Arrivals!$G$3:$G$1000,Arrivals!$A$3:$A$1000,"&gt;="&amp;A23,Arrivals!$A$3:$A$1000,"&lt;"&amp;DATE(YEAR(A23),MONTH(A23)+1,1),Arrivals!$D$3:$D$1000,"Completed",Arrivals!$J$3:$J$1000,"Third-party")</x:f>
        <x:v>0</x:v>
      </x:c>
      <x:c r="D23" s="169" t="n">
        <x:f>SUMIFS(Arrivals!$G$3:$G$1000,Arrivals!$A$3:$A$1000,"&gt;="&amp;A23,Arrivals!$A$3:$A$1000,"&lt;"&amp;EDATE(A23,1),Arrivals!$D$3:$D$1000,"Scheduled")+SUMIFS(Arrivals!$G$3:$G$1000,Arrivals!$A$3:$A$1000,"&gt;="&amp;A23,Arrivals!$A$3:$A$1000,"&lt;"&amp;EDATE(A23,1),Arrivals!$D$3:$D$1000,"Berthed / Discharging")+SUMIFS(Arrivals!$G$3:$G$1000,Arrivals!$A$3:$A$1000,"&gt;="&amp;A23,Arrivals!$A$3:$A$1000,"&lt;"&amp;EDATE(A23,1),Arrivals!$D$3:$D$1000,"Anchored / Awaiting berth")</x:f>
        <x:v>0</x:v>
      </x:c>
      <x:c r="E23" s="169" t="n">
        <x:f>SUM(B23:D23)</x:f>
        <x:v>0</x:v>
      </x:c>
      <x:c r="F23" s="169" t="n">
        <x:f>SUM(E21:E23)</x:f>
        <x:v>0</x:v>
      </x:c>
      <x:c r="G23" s="179" t="str">
        <x:f>IF(A23&lt;DATE(2026,8,1),"Historical vessel list not backfilled",IF(A23=DATE(2026,8,1),"Live Aratu capture","Forward / update pending"))</x:f>
        <x:v>Historical vessel list not backfilled</x:v>
      </x:c>
      <x:c r="H23" s="169"/>
      <x:c r="I23" s="179" t="str">
        <x:f>IF(A23&lt;DATE(2026,8,1),"",IF(C23&gt;0,IF(B23&gt;0,"Future + third-party coexisting","Third-party only"),IF(B23&gt;0,"Future only","No tracked arrivals")))</x:f>
      </x:c>
      <x:c r="J23" s="179" t="str">
        <x:f>IF(A23=DATE(2026,8,1),"Completed + near-forward CODEBA data in Arrivals tab; ANP historical monthly backfill pending.","")</x:f>
      </x:c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78" t="n">
        <x:v>45931</x:v>
      </x:c>
      <x:c r="B24" s="169" t="n">
        <x:f>SUMIFS(Arrivals!$G$3:$G$1000,Arrivals!$A$3:$A$1000,"&gt;="&amp;A24,Arrivals!$A$3:$A$1000,"&lt;"&amp;DATE(YEAR(A24),MONTH(A24)+1,1),Arrivals!$D$3:$D$1000,"Completed",Arrivals!$J$3:$J$1000,"Future LR1")</x:f>
        <x:v>0</x:v>
      </x:c>
      <x:c r="C24" s="169" t="n">
        <x:f>SUMIFS(Arrivals!$G$3:$G$1000,Arrivals!$A$3:$A$1000,"&gt;="&amp;A24,Arrivals!$A$3:$A$1000,"&lt;"&amp;DATE(YEAR(A24),MONTH(A24)+1,1),Arrivals!$D$3:$D$1000,"Completed",Arrivals!$J$3:$J$1000,"Third-party")</x:f>
        <x:v>0</x:v>
      </x:c>
      <x:c r="D24" s="169" t="n">
        <x:f>SUMIFS(Arrivals!$G$3:$G$1000,Arrivals!$A$3:$A$1000,"&gt;="&amp;A24,Arrivals!$A$3:$A$1000,"&lt;"&amp;EDATE(A24,1),Arrivals!$D$3:$D$1000,"Scheduled")+SUMIFS(Arrivals!$G$3:$G$1000,Arrivals!$A$3:$A$1000,"&gt;="&amp;A24,Arrivals!$A$3:$A$1000,"&lt;"&amp;EDATE(A24,1),Arrivals!$D$3:$D$1000,"Berthed / Discharging")+SUMIFS(Arrivals!$G$3:$G$1000,Arrivals!$A$3:$A$1000,"&gt;="&amp;A24,Arrivals!$A$3:$A$1000,"&lt;"&amp;EDATE(A24,1),Arrivals!$D$3:$D$1000,"Anchored / Awaiting berth")</x:f>
        <x:v>0</x:v>
      </x:c>
      <x:c r="E24" s="169" t="n">
        <x:f>SUM(B24:D24)</x:f>
        <x:v>0</x:v>
      </x:c>
      <x:c r="F24" s="169" t="n">
        <x:f>SUM(E22:E24)</x:f>
        <x:v>0</x:v>
      </x:c>
      <x:c r="G24" s="179" t="str">
        <x:f>IF(A24&lt;DATE(2026,8,1),"Historical vessel list not backfilled",IF(A24=DATE(2026,8,1),"Live Aratu capture","Forward / update pending"))</x:f>
        <x:v>Historical vessel list not backfilled</x:v>
      </x:c>
      <x:c r="H24" s="169"/>
      <x:c r="I24" s="179" t="str">
        <x:f>IF(A24&lt;DATE(2026,8,1),"",IF(C24&gt;0,IF(B24&gt;0,"Future + third-party coexisting","Third-party only"),IF(B24&gt;0,"Future only","No tracked arrivals")))</x:f>
      </x:c>
      <x:c r="J24" s="179" t="str">
        <x:f>IF(A24=DATE(2026,8,1),"Completed + near-forward CODEBA data in Arrivals tab; ANP historical monthly backfill pending.","")</x:f>
      </x:c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78" t="n">
        <x:v>45962</x:v>
      </x:c>
      <x:c r="B25" s="169" t="n">
        <x:f>SUMIFS(Arrivals!$G$3:$G$1000,Arrivals!$A$3:$A$1000,"&gt;="&amp;A25,Arrivals!$A$3:$A$1000,"&lt;"&amp;DATE(YEAR(A25),MONTH(A25)+1,1),Arrivals!$D$3:$D$1000,"Completed",Arrivals!$J$3:$J$1000,"Future LR1")</x:f>
        <x:v>0</x:v>
      </x:c>
      <x:c r="C25" s="169" t="n">
        <x:f>SUMIFS(Arrivals!$G$3:$G$1000,Arrivals!$A$3:$A$1000,"&gt;="&amp;A25,Arrivals!$A$3:$A$1000,"&lt;"&amp;DATE(YEAR(A25),MONTH(A25)+1,1),Arrivals!$D$3:$D$1000,"Completed",Arrivals!$J$3:$J$1000,"Third-party")</x:f>
        <x:v>0</x:v>
      </x:c>
      <x:c r="D25" s="169" t="n">
        <x:f>SUMIFS(Arrivals!$G$3:$G$1000,Arrivals!$A$3:$A$1000,"&gt;="&amp;A25,Arrivals!$A$3:$A$1000,"&lt;"&amp;EDATE(A25,1),Arrivals!$D$3:$D$1000,"Scheduled")+SUMIFS(Arrivals!$G$3:$G$1000,Arrivals!$A$3:$A$1000,"&gt;="&amp;A25,Arrivals!$A$3:$A$1000,"&lt;"&amp;EDATE(A25,1),Arrivals!$D$3:$D$1000,"Berthed / Discharging")+SUMIFS(Arrivals!$G$3:$G$1000,Arrivals!$A$3:$A$1000,"&gt;="&amp;A25,Arrivals!$A$3:$A$1000,"&lt;"&amp;EDATE(A25,1),Arrivals!$D$3:$D$1000,"Anchored / Awaiting berth")</x:f>
        <x:v>0</x:v>
      </x:c>
      <x:c r="E25" s="169" t="n">
        <x:f>SUM(B25:D25)</x:f>
        <x:v>0</x:v>
      </x:c>
      <x:c r="F25" s="169" t="n">
        <x:f>SUM(E23:E25)</x:f>
        <x:v>0</x:v>
      </x:c>
      <x:c r="G25" s="179" t="str">
        <x:f>IF(A25&lt;DATE(2026,8,1),"Historical vessel list not backfilled",IF(A25=DATE(2026,8,1),"Live Aratu capture","Forward / update pending"))</x:f>
        <x:v>Historical vessel list not backfilled</x:v>
      </x:c>
      <x:c r="H25" s="169"/>
      <x:c r="I25" s="179" t="str">
        <x:f>IF(A25&lt;DATE(2026,8,1),"",IF(C25&gt;0,IF(B25&gt;0,"Future + third-party coexisting","Third-party only"),IF(B25&gt;0,"Future only","No tracked arrivals")))</x:f>
      </x:c>
      <x:c r="J25" s="179" t="str">
        <x:f>IF(A25=DATE(2026,8,1),"Completed + near-forward CODEBA data in Arrivals tab; ANP historical monthly backfill pending.","")</x:f>
      </x:c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78" t="n">
        <x:v>45992</x:v>
      </x:c>
      <x:c r="B26" s="169" t="n">
        <x:f>SUMIFS(Arrivals!$G$3:$G$1000,Arrivals!$A$3:$A$1000,"&gt;="&amp;A26,Arrivals!$A$3:$A$1000,"&lt;"&amp;DATE(YEAR(A26),MONTH(A26)+1,1),Arrivals!$D$3:$D$1000,"Completed",Arrivals!$J$3:$J$1000,"Future LR1")</x:f>
        <x:v>0</x:v>
      </x:c>
      <x:c r="C26" s="169" t="n">
        <x:f>SUMIFS(Arrivals!$G$3:$G$1000,Arrivals!$A$3:$A$1000,"&gt;="&amp;A26,Arrivals!$A$3:$A$1000,"&lt;"&amp;DATE(YEAR(A26),MONTH(A26)+1,1),Arrivals!$D$3:$D$1000,"Completed",Arrivals!$J$3:$J$1000,"Third-party")</x:f>
        <x:v>0</x:v>
      </x:c>
      <x:c r="D26" s="169" t="n">
        <x:f>SUMIFS(Arrivals!$G$3:$G$1000,Arrivals!$A$3:$A$1000,"&gt;="&amp;A26,Arrivals!$A$3:$A$1000,"&lt;"&amp;EDATE(A26,1),Arrivals!$D$3:$D$1000,"Scheduled")+SUMIFS(Arrivals!$G$3:$G$1000,Arrivals!$A$3:$A$1000,"&gt;="&amp;A26,Arrivals!$A$3:$A$1000,"&lt;"&amp;EDATE(A26,1),Arrivals!$D$3:$D$1000,"Berthed / Discharging")+SUMIFS(Arrivals!$G$3:$G$1000,Arrivals!$A$3:$A$1000,"&gt;="&amp;A26,Arrivals!$A$3:$A$1000,"&lt;"&amp;EDATE(A26,1),Arrivals!$D$3:$D$1000,"Anchored / Awaiting berth")</x:f>
        <x:v>0</x:v>
      </x:c>
      <x:c r="E26" s="169" t="n">
        <x:f>SUM(B26:D26)</x:f>
        <x:v>0</x:v>
      </x:c>
      <x:c r="F26" s="169" t="n">
        <x:f>SUM(E24:E26)</x:f>
        <x:v>0</x:v>
      </x:c>
      <x:c r="G26" s="179" t="str">
        <x:f>IF(A26&lt;DATE(2026,8,1),"Historical vessel list not backfilled",IF(A26=DATE(2026,8,1),"Live Aratu capture","Forward / update pending"))</x:f>
        <x:v>Historical vessel list not backfilled</x:v>
      </x:c>
      <x:c r="H26" s="169"/>
      <x:c r="I26" s="179" t="str">
        <x:f>IF(A26&lt;DATE(2026,8,1),"",IF(C26&gt;0,IF(B26&gt;0,"Future + third-party coexisting","Third-party only"),IF(B26&gt;0,"Future only","No tracked arrivals")))</x:f>
      </x:c>
      <x:c r="J26" s="179" t="str">
        <x:f>IF(A26=DATE(2026,8,1),"Completed + near-forward CODEBA data in Arrivals tab; ANP historical monthly backfill pending.","")</x:f>
      </x:c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78" t="n">
        <x:v>46023</x:v>
      </x:c>
      <x:c r="B27" s="169"/>
      <x:c r="C27" s="169"/>
      <x:c r="D27" s="169" t="n">
        <x:f>SUMIFS(Arrivals!$G$3:$G$1000,Arrivals!$A$3:$A$1000,"&gt;="&amp;A27,Arrivals!$A$3:$A$1000,"&lt;"&amp;EDATE(A27,1),Arrivals!$D$3:$D$1000,"Scheduled")+SUMIFS(Arrivals!$G$3:$G$1000,Arrivals!$A$3:$A$1000,"&gt;="&amp;A27,Arrivals!$A$3:$A$1000,"&lt;"&amp;EDATE(A27,1),Arrivals!$D$3:$D$1000,"Berthed / Discharging")+SUMIFS(Arrivals!$G$3:$G$1000,Arrivals!$A$3:$A$1000,"&gt;="&amp;A27,Arrivals!$A$3:$A$1000,"&lt;"&amp;EDATE(A27,1),Arrivals!$D$3:$D$1000,"Anchored / Awaiting berth")</x:f>
        <x:v>0</x:v>
      </x:c>
      <x:c r="E27" s="169"/>
      <x:c r="F27" s="169"/>
      <x:c r="G27" s="216" t="str">
        <x:v>2026 backfill: vessel-level history not recovered</x:v>
      </x:c>
      <x:c r="H27" s="215"/>
      <x:c r="I27" s="179" t="str">
        <x:f>IF(A27&lt;DATE(2026,8,1),"",IF(C27&gt;0,IF(B27&gt;0,"Future + third-party coexisting","Third-party only"),IF(B27&gt;0,"Future only","No tracked arrivals")))</x:f>
      </x:c>
      <x:c r="J27" s="116" t="str">
        <x:v>Vessel-level Braskem naphtha fields intentionally blank, not zero.</x:v>
      </x:c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78" t="n">
        <x:v>46054</x:v>
      </x:c>
      <x:c r="B28" s="169"/>
      <x:c r="C28" s="169"/>
      <x:c r="D28" s="169" t="n">
        <x:f>SUMIFS(Arrivals!$G$3:$G$1000,Arrivals!$A$3:$A$1000,"&gt;="&amp;A28,Arrivals!$A$3:$A$1000,"&lt;"&amp;EDATE(A28,1),Arrivals!$D$3:$D$1000,"Scheduled")+SUMIFS(Arrivals!$G$3:$G$1000,Arrivals!$A$3:$A$1000,"&gt;="&amp;A28,Arrivals!$A$3:$A$1000,"&lt;"&amp;EDATE(A28,1),Arrivals!$D$3:$D$1000,"Berthed / Discharging")+SUMIFS(Arrivals!$G$3:$G$1000,Arrivals!$A$3:$A$1000,"&gt;="&amp;A28,Arrivals!$A$3:$A$1000,"&lt;"&amp;EDATE(A28,1),Arrivals!$D$3:$D$1000,"Anchored / Awaiting berth")</x:f>
        <x:v>0</x:v>
      </x:c>
      <x:c r="E28" s="169"/>
      <x:c r="F28" s="169"/>
      <x:c r="G28" s="216" t="str">
        <x:v>Partial: Feb total-port context added</x:v>
      </x:c>
      <x:c r="H28" s="215" t="n">
        <x:v>555</x:v>
      </x:c>
      <x:c r="I28" s="179" t="str">
        <x:f>IF(A28&lt;DATE(2026,8,1),"",IF(C28&gt;0,IF(B28&gt;0,"Future + third-party coexisting","Third-party only"),IF(B28&gt;0,"Future only","No tracked arrivals")))</x:f>
      </x:c>
      <x:c r="J28" s="116" t="str">
        <x:v>555.0kt is total Aratu port cargo, all products; not naphtha-specific.</x:v>
      </x:c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78" t="n">
        <x:v>46082</x:v>
      </x:c>
      <x:c r="B29" s="169"/>
      <x:c r="C29" s="169"/>
      <x:c r="D29" s="169" t="n">
        <x:f>SUMIFS(Arrivals!$G$3:$G$1000,Arrivals!$A$3:$A$1000,"&gt;="&amp;A29,Arrivals!$A$3:$A$1000,"&lt;"&amp;EDATE(A29,1),Arrivals!$D$3:$D$1000,"Scheduled")+SUMIFS(Arrivals!$G$3:$G$1000,Arrivals!$A$3:$A$1000,"&gt;="&amp;A29,Arrivals!$A$3:$A$1000,"&lt;"&amp;EDATE(A29,1),Arrivals!$D$3:$D$1000,"Berthed / Discharging")+SUMIFS(Arrivals!$G$3:$G$1000,Arrivals!$A$3:$A$1000,"&gt;="&amp;A29,Arrivals!$A$3:$A$1000,"&lt;"&amp;EDATE(A29,1),Arrivals!$D$3:$D$1000,"Anchored / Awaiting berth")</x:f>
        <x:v>0</x:v>
      </x:c>
      <x:c r="E29" s="169"/>
      <x:c r="F29" s="169"/>
      <x:c r="G29" s="216" t="str">
        <x:v>Partial: Mar total-port context added</x:v>
      </x:c>
      <x:c r="H29" s="215" t="n">
        <x:v>681.65</x:v>
      </x:c>
      <x:c r="I29" s="179" t="str">
        <x:f>IF(A29&lt;DATE(2026,8,1),"",IF(C29&gt;0,IF(B29&gt;0,"Future + third-party coexisting","Third-party only"),IF(B29&gt;0,"Future only","No tracked arrivals")))</x:f>
      </x:c>
      <x:c r="J29" s="116" t="str">
        <x:v>681.65kt is total Aratu port cargo, all products; not naphtha-specific.</x:v>
      </x:c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78" t="n">
        <x:v>46113</x:v>
      </x:c>
      <x:c r="B30" s="169"/>
      <x:c r="C30" s="169"/>
      <x:c r="D30" s="169" t="n">
        <x:f>SUMIFS(Arrivals!$G$3:$G$1000,Arrivals!$A$3:$A$1000,"&gt;="&amp;A30,Arrivals!$A$3:$A$1000,"&lt;"&amp;EDATE(A30,1),Arrivals!$D$3:$D$1000,"Scheduled")+SUMIFS(Arrivals!$G$3:$G$1000,Arrivals!$A$3:$A$1000,"&gt;="&amp;A30,Arrivals!$A$3:$A$1000,"&lt;"&amp;EDATE(A30,1),Arrivals!$D$3:$D$1000,"Berthed / Discharging")+SUMIFS(Arrivals!$G$3:$G$1000,Arrivals!$A$3:$A$1000,"&gt;="&amp;A30,Arrivals!$A$3:$A$1000,"&lt;"&amp;EDATE(A30,1),Arrivals!$D$3:$D$1000,"Anchored / Awaiting berth")</x:f>
        <x:v>0</x:v>
      </x:c>
      <x:c r="E30" s="169"/>
      <x:c r="F30" s="169"/>
      <x:c r="G30" s="216" t="str">
        <x:v>2026 backfill: vessel-level history not recovered</x:v>
      </x:c>
      <x:c r="H30" s="215"/>
      <x:c r="I30" s="179" t="str">
        <x:f>IF(A30&lt;DATE(2026,8,1),"",IF(C30&gt;0,IF(B30&gt;0,"Future + third-party coexisting","Third-party only"),IF(B30&gt;0,"Future only","No tracked arrivals")))</x:f>
      </x:c>
      <x:c r="J30" s="116" t="str">
        <x:v>Vessel-level Braskem naphtha fields intentionally blank, not zero.</x:v>
      </x:c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78" t="n">
        <x:v>46143</x:v>
      </x:c>
      <x:c r="B31" s="169"/>
      <x:c r="C31" s="169"/>
      <x:c r="D31" s="169" t="n">
        <x:f>SUMIFS(Arrivals!$G$3:$G$1000,Arrivals!$A$3:$A$1000,"&gt;="&amp;A31,Arrivals!$A$3:$A$1000,"&lt;"&amp;EDATE(A31,1),Arrivals!$D$3:$D$1000,"Scheduled")+SUMIFS(Arrivals!$G$3:$G$1000,Arrivals!$A$3:$A$1000,"&gt;="&amp;A31,Arrivals!$A$3:$A$1000,"&lt;"&amp;EDATE(A31,1),Arrivals!$D$3:$D$1000,"Berthed / Discharging")+SUMIFS(Arrivals!$G$3:$G$1000,Arrivals!$A$3:$A$1000,"&gt;="&amp;A31,Arrivals!$A$3:$A$1000,"&lt;"&amp;EDATE(A31,1),Arrivals!$D$3:$D$1000,"Anchored / Awaiting berth")</x:f>
        <x:v>0</x:v>
      </x:c>
      <x:c r="E31" s="169"/>
      <x:c r="F31" s="169"/>
      <x:c r="G31" s="216" t="str">
        <x:v>Partial: Jan–May cumulative port context in 2026 Backfill tab</x:v>
      </x:c>
      <x:c r="H31" s="215"/>
      <x:c r="I31" s="179" t="str">
        <x:f>IF(A31&lt;DATE(2026,8,1),"",IF(C31&gt;0,IF(B31&gt;0,"Future + third-party coexisting","Third-party only"),IF(B31&gt;0,"Future only","No tracked arrivals")))</x:f>
      </x:c>
      <x:c r="J31" s="116" t="str">
        <x:v>See 2026 Backfill tab for Jan–May cumulative official port context.</x:v>
      </x:c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78" t="n">
        <x:v>46174</x:v>
      </x:c>
      <x:c r="B32" s="169"/>
      <x:c r="C32" s="169"/>
      <x:c r="D32" s="169" t="n">
        <x:f>SUMIFS(Arrivals!$G$3:$G$1000,Arrivals!$A$3:$A$1000,"&gt;="&amp;A32,Arrivals!$A$3:$A$1000,"&lt;"&amp;EDATE(A32,1),Arrivals!$D$3:$D$1000,"Scheduled")+SUMIFS(Arrivals!$G$3:$G$1000,Arrivals!$A$3:$A$1000,"&gt;="&amp;A32,Arrivals!$A$3:$A$1000,"&lt;"&amp;EDATE(A32,1),Arrivals!$D$3:$D$1000,"Berthed / Discharging")+SUMIFS(Arrivals!$G$3:$G$1000,Arrivals!$A$3:$A$1000,"&gt;="&amp;A32,Arrivals!$A$3:$A$1000,"&lt;"&amp;EDATE(A32,1),Arrivals!$D$3:$D$1000,"Anchored / Awaiting berth")</x:f>
        <x:v>0</x:v>
      </x:c>
      <x:c r="E32" s="169"/>
      <x:c r="F32" s="169"/>
      <x:c r="G32" s="216" t="str">
        <x:v>Partial: Jun total-port context added</x:v>
      </x:c>
      <x:c r="H32" s="215" t="n">
        <x:v>692.2</x:v>
      </x:c>
      <x:c r="I32" s="179" t="str">
        <x:f>IF(A32&lt;DATE(2026,8,1),"",IF(C32&gt;0,IF(B32&gt;0,"Future + third-party coexisting","Third-party only"),IF(B32&gt;0,"Future only","No tracked arrivals")))</x:f>
      </x:c>
      <x:c r="J32" s="116" t="str">
        <x:v>692.2kt is total Aratu port cargo, all products; not naphtha-specific.</x:v>
      </x:c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78" t="n">
        <x:v>46204</x:v>
      </x:c>
      <x:c r="B33" s="169"/>
      <x:c r="C33" s="169"/>
      <x:c r="D33" s="169" t="n">
        <x:f>SUMIFS(Arrivals!$G$3:$G$1000,Arrivals!$A$3:$A$1000,"&gt;="&amp;A33,Arrivals!$A$3:$A$1000,"&lt;"&amp;EDATE(A33,1),Arrivals!$D$3:$D$1000,"Scheduled")+SUMIFS(Arrivals!$G$3:$G$1000,Arrivals!$A$3:$A$1000,"&gt;="&amp;A33,Arrivals!$A$3:$A$1000,"&lt;"&amp;EDATE(A33,1),Arrivals!$D$3:$D$1000,"Berthed / Discharging")+SUMIFS(Arrivals!$G$3:$G$1000,Arrivals!$A$3:$A$1000,"&gt;="&amp;A33,Arrivals!$A$3:$A$1000,"&lt;"&amp;EDATE(A33,1),Arrivals!$D$3:$D$1000,"Anchored / Awaiting berth")</x:f>
        <x:v>0</x:v>
      </x:c>
      <x:c r="E33" s="169"/>
      <x:c r="F33" s="169"/>
      <x:c r="G33" s="216" t="str">
        <x:v>2026 backfill: vessel-level history not recovered</x:v>
      </x:c>
      <x:c r="H33" s="215"/>
      <x:c r="I33" s="179" t="str">
        <x:f>IF(A33&lt;DATE(2026,8,1),"",IF(C33&gt;0,IF(B33&gt;0,"Future + third-party coexisting","Third-party only"),IF(B33&gt;0,"Future only","No tracked arrivals")))</x:f>
      </x:c>
      <x:c r="J33" s="116" t="str">
        <x:v>Vessel-level Braskem naphtha fields intentionally blank, not zero.</x:v>
      </x:c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78" t="n">
        <x:v>46235</x:v>
      </x:c>
      <x:c r="B34" s="215" t="n">
        <x:v>55.245144</x:v>
      </x:c>
      <x:c r="C34" s="215" t="n">
        <x:v>148.810109</x:v>
      </x:c>
      <x:c r="D34" s="215" t="n">
        <x:f>SUMIFS(Arrivals!$G$3:$G$1000,Arrivals!$A$3:$A$1000,"&gt;="&amp;A34,Arrivals!$A$3:$A$1000,"&lt;"&amp;EDATE(A34,1),Arrivals!$D$3:$D$1000,"Scheduled")+SUMIFS(Arrivals!$G$3:$G$1000,Arrivals!$A$3:$A$1000,"&gt;="&amp;A34,Arrivals!$A$3:$A$1000,"&lt;"&amp;EDATE(A34,1),Arrivals!$D$3:$D$1000,"Berthed / Discharging")+SUMIFS(Arrivals!$G$3:$G$1000,Arrivals!$A$3:$A$1000,"&gt;="&amp;A34,Arrivals!$A$3:$A$1000,"&lt;"&amp;EDATE(A34,1),Arrivals!$D$3:$D$1000,"Anchored / Awaiting berth")</x:f>
        <x:v>0</x:v>
      </x:c>
      <x:c r="E34" s="215" t="n">
        <x:v>267.424552</x:v>
      </x:c>
      <x:c r="F34" s="215" t="n">
        <x:v>267.424552</x:v>
      </x:c>
      <x:c r="G34" s="179" t="str">
        <x:v>Verified Aratu vessel-level capture</x:v>
      </x:c>
      <x:c r="H34" s="169"/>
      <x:c r="I34" s="179" t="str">
        <x:f>IF(A34&lt;DATE(2026,8,1),"",IF(C34&gt;0,IF(B34&gt;0,"Future + third-party coexisting","Third-party only"),IF(B34&gt;0,"Future only","No tracked arrivals")))</x:f>
        <x:v>Future + third-party coexisting</x:v>
      </x:c>
      <x:c r="J34" s="179" t="str">
        <x:v>Completed + near-forward CODEBA vessel records; exact August rows in Arrivals tab.</x:v>
      </x:c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78" t="n">
        <x:v>46266</x:v>
      </x:c>
      <x:c r="B35" s="169" t="n">
        <x:f>SUMIFS(Arrivals!$G$3:$G$1000,Arrivals!$A$3:$A$1000,"&gt;="&amp;A35,Arrivals!$A$3:$A$1000,"&lt;"&amp;DATE(YEAR(A35),MONTH(A35)+1,1),Arrivals!$D$3:$D$1000,"Completed",Arrivals!$J$3:$J$1000,"Future LR1")</x:f>
        <x:v>0</x:v>
      </x:c>
      <x:c r="C35" s="169" t="n">
        <x:f>SUMIFS(Arrivals!$G$3:$G$1000,Arrivals!$A$3:$A$1000,"&gt;="&amp;A35,Arrivals!$A$3:$A$1000,"&lt;"&amp;DATE(YEAR(A35),MONTH(A35)+1,1),Arrivals!$D$3:$D$1000,"Completed",Arrivals!$J$3:$J$1000,"Third-party")</x:f>
        <x:v>0</x:v>
      </x:c>
      <x:c r="D35" s="169" t="n">
        <x:f>SUMIFS(Arrivals!$G$3:$G$1000,Arrivals!$A$3:$A$1000,"&gt;="&amp;A35,Arrivals!$A$3:$A$1000,"&lt;"&amp;EDATE(A35,1),Arrivals!$D$3:$D$1000,"Scheduled")+SUMIFS(Arrivals!$G$3:$G$1000,Arrivals!$A$3:$A$1000,"&gt;="&amp;A35,Arrivals!$A$3:$A$1000,"&lt;"&amp;EDATE(A35,1),Arrivals!$D$3:$D$1000,"Berthed / Discharging")+SUMIFS(Arrivals!$G$3:$G$1000,Arrivals!$A$3:$A$1000,"&gt;="&amp;A35,Arrivals!$A$3:$A$1000,"&lt;"&amp;EDATE(A35,1),Arrivals!$D$3:$D$1000,"Anchored / Awaiting berth")</x:f>
        <x:v>56.617101</x:v>
      </x:c>
      <x:c r="E35" s="169" t="n">
        <x:f>SUM(B35:D35)</x:f>
        <x:v>56.617101</x:v>
      </x:c>
      <x:c r="F35" s="169" t="n">
        <x:f>SUM(E33:E35)</x:f>
        <x:v>324.041653</x:v>
      </x:c>
      <x:c r="G35" s="179" t="str">
        <x:v>Partial September capture; not full monthly arrivals</x:v>
      </x:c>
      <x:c r="H35" s="169"/>
      <x:c r="I35" s="179" t="str">
        <x:f>IF(A35&lt;DATE(2026,8,1),"",IF(C35&gt;0,IF(B35&gt;0,"Future + third-party coexisting","Third-party only"),IF(B35&gt;0,"Future only","No tracked arrivals")))</x:f>
        <x:v>No tracked arrivals</x:v>
      </x:c>
      <x:c r="J35" s="179" t="str">
        <x:v>Beautiful Future live 28kt. Earlier Sep calls unresolved; excluded from live totals.</x:v>
      </x:c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78" t="n">
        <x:v>46296</x:v>
      </x:c>
      <x:c r="B36" s="169" t="n">
        <x:f>SUMIFS(Arrivals!$G$3:$G$1000,Arrivals!$A$3:$A$1000,"&gt;="&amp;A36,Arrivals!$A$3:$A$1000,"&lt;"&amp;DATE(YEAR(A36),MONTH(A36)+1,1),Arrivals!$D$3:$D$1000,"Completed",Arrivals!$J$3:$J$1000,"Future LR1")</x:f>
        <x:v>0</x:v>
      </x:c>
      <x:c r="C36" s="169" t="n">
        <x:f>SUMIFS(Arrivals!$G$3:$G$1000,Arrivals!$A$3:$A$1000,"&gt;="&amp;A36,Arrivals!$A$3:$A$1000,"&lt;"&amp;DATE(YEAR(A36),MONTH(A36)+1,1),Arrivals!$D$3:$D$1000,"Completed",Arrivals!$J$3:$J$1000,"Third-party")</x:f>
        <x:v>0</x:v>
      </x:c>
      <x:c r="D36" s="169" t="n">
        <x:f>SUMIFS(Arrivals!$G$3:$G$1000,Arrivals!$A$3:$A$1000,"&gt;="&amp;A36,Arrivals!$A$3:$A$1000,"&lt;"&amp;EDATE(A36,1),Arrivals!$D$3:$D$1000,"Scheduled")+SUMIFS(Arrivals!$G$3:$G$1000,Arrivals!$A$3:$A$1000,"&gt;="&amp;A36,Arrivals!$A$3:$A$1000,"&lt;"&amp;EDATE(A36,1),Arrivals!$D$3:$D$1000,"Berthed / Discharging")+SUMIFS(Arrivals!$G$3:$G$1000,Arrivals!$A$3:$A$1000,"&gt;="&amp;A36,Arrivals!$A$3:$A$1000,"&lt;"&amp;EDATE(A36,1),Arrivals!$D$3:$D$1000,"Anchored / Awaiting berth")</x:f>
        <x:v>89.697355</x:v>
      </x:c>
      <x:c r="E36" s="169" t="n">
        <x:f>SUM(B36:D36)</x:f>
        <x:v>89.697355</x:v>
      </x:c>
      <x:c r="F36" s="169" t="n">
        <x:f>SUM(E34:E36)</x:f>
        <x:v>413.739008</x:v>
      </x:c>
      <x:c r="G36" s="179" t="str">
        <x:v>October current schedule</x:v>
      </x:c>
      <x:c r="H36" s="169"/>
      <x:c r="I36" s="179" t="str">
        <x:f>IF(A36&lt;DATE(2026,8,1),"",IF(C36&gt;0,IF(B36&gt;0,"Future + third-party coexisting","Third-party only"),IF(B36&gt;0,"Future only","No tracked arrivals")))</x:f>
        <x:v>No tracked arrivals</x:v>
      </x:c>
      <x:c r="J36" s="179" t="str">
        <x:v>63kt known plus Pine Olia / Baiacu quantity TBD.</x:v>
      </x:c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78" t="n">
        <x:v>46327</x:v>
      </x:c>
      <x:c r="B37" s="169" t="n">
        <x:f>SUMIFS(Arrivals!$G$3:$G$1000,Arrivals!$A$3:$A$1000,"&gt;="&amp;A37,Arrivals!$A$3:$A$1000,"&lt;"&amp;DATE(YEAR(A37),MONTH(A37)+1,1),Arrivals!$D$3:$D$1000,"Completed",Arrivals!$J$3:$J$1000,"Future LR1")</x:f>
        <x:v>0</x:v>
      </x:c>
      <x:c r="C37" s="169" t="n">
        <x:f>SUMIFS(Arrivals!$G$3:$G$1000,Arrivals!$A$3:$A$1000,"&gt;="&amp;A37,Arrivals!$A$3:$A$1000,"&lt;"&amp;DATE(YEAR(A37),MONTH(A37)+1,1),Arrivals!$D$3:$D$1000,"Completed",Arrivals!$J$3:$J$1000,"Third-party")</x:f>
        <x:v>0</x:v>
      </x:c>
      <x:c r="D37" s="169" t="n">
        <x:f>SUMIFS(Arrivals!$G$3:$G$1000,Arrivals!$A$3:$A$1000,"&gt;="&amp;A37,Arrivals!$A$3:$A$1000,"&lt;"&amp;EDATE(A37,1),Arrivals!$D$3:$D$1000,"Scheduled")+SUMIFS(Arrivals!$G$3:$G$1000,Arrivals!$A$3:$A$1000,"&gt;="&amp;A37,Arrivals!$A$3:$A$1000,"&lt;"&amp;EDATE(A37,1),Arrivals!$D$3:$D$1000,"Berthed / Discharging")+SUMIFS(Arrivals!$G$3:$G$1000,Arrivals!$A$3:$A$1000,"&gt;="&amp;A37,Arrivals!$A$3:$A$1000,"&lt;"&amp;EDATE(A37,1),Arrivals!$D$3:$D$1000,"Anchored / Awaiting berth")</x:f>
        <x:v>0</x:v>
      </x:c>
      <x:c r="E37" s="169" t="n">
        <x:f>SUM(B37:D37)</x:f>
        <x:v>0</x:v>
      </x:c>
      <x:c r="F37" s="169" t="n">
        <x:f>SUM(E35:E37)</x:f>
        <x:v>146.314456</x:v>
      </x:c>
      <x:c r="G37" s="179" t="str">
        <x:f>IF(A37&lt;DATE(2026,8,1),"Historical vessel list not backfilled",IF(A37=DATE(2026,8,1),"Live Aratu capture","Forward / update pending"))</x:f>
        <x:v>Forward / update pending</x:v>
      </x:c>
      <x:c r="H37" s="169"/>
      <x:c r="I37" s="179" t="str">
        <x:f>IF(A37&lt;DATE(2026,8,1),"",IF(C37&gt;0,IF(B37&gt;0,"Future + third-party coexisting","Third-party only"),IF(B37&gt;0,"Future only","No tracked arrivals")))</x:f>
        <x:v>No tracked arrivals</x:v>
      </x:c>
      <x:c r="J37" s="179" t="str">
        <x:f>IF(A37=DATE(2026,8,1),"Completed + near-forward CODEBA data in Arrivals tab; ANP historical monthly backfill pending.","")</x:f>
      </x:c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78" t="n">
        <x:v>46357</x:v>
      </x:c>
      <x:c r="B38" s="169" t="n">
        <x:f>SUMIFS(Arrivals!$G$3:$G$1000,Arrivals!$A$3:$A$1000,"&gt;="&amp;A38,Arrivals!$A$3:$A$1000,"&lt;"&amp;DATE(YEAR(A38),MONTH(A38)+1,1),Arrivals!$D$3:$D$1000,"Completed",Arrivals!$J$3:$J$1000,"Future LR1")</x:f>
        <x:v>0</x:v>
      </x:c>
      <x:c r="C38" s="169" t="n">
        <x:f>SUMIFS(Arrivals!$G$3:$G$1000,Arrivals!$A$3:$A$1000,"&gt;="&amp;A38,Arrivals!$A$3:$A$1000,"&lt;"&amp;DATE(YEAR(A38),MONTH(A38)+1,1),Arrivals!$D$3:$D$1000,"Completed",Arrivals!$J$3:$J$1000,"Third-party")</x:f>
        <x:v>0</x:v>
      </x:c>
      <x:c r="D38" s="169" t="n">
        <x:f>SUMIFS(Arrivals!$G$3:$G$1000,Arrivals!$A$3:$A$1000,"&gt;="&amp;A38,Arrivals!$A$3:$A$1000,"&lt;"&amp;EDATE(A38,1),Arrivals!$D$3:$D$1000,"Scheduled")+SUMIFS(Arrivals!$G$3:$G$1000,Arrivals!$A$3:$A$1000,"&gt;="&amp;A38,Arrivals!$A$3:$A$1000,"&lt;"&amp;EDATE(A38,1),Arrivals!$D$3:$D$1000,"Berthed / Discharging")+SUMIFS(Arrivals!$G$3:$G$1000,Arrivals!$A$3:$A$1000,"&gt;="&amp;A38,Arrivals!$A$3:$A$1000,"&lt;"&amp;EDATE(A38,1),Arrivals!$D$3:$D$1000,"Anchored / Awaiting berth")</x:f>
        <x:v>0</x:v>
      </x:c>
      <x:c r="E38" s="169" t="n">
        <x:f>SUM(B38:D38)</x:f>
        <x:v>0</x:v>
      </x:c>
      <x:c r="F38" s="169" t="n">
        <x:f>SUM(E36:E38)</x:f>
        <x:v>89.697355</x:v>
      </x:c>
      <x:c r="G38" s="179" t="str">
        <x:f>IF(A38&lt;DATE(2026,8,1),"Historical vessel list not backfilled",IF(A38=DATE(2026,8,1),"Live Aratu capture","Forward / update pending"))</x:f>
        <x:v>Forward / update pending</x:v>
      </x:c>
      <x:c r="H38" s="169"/>
      <x:c r="I38" s="179" t="str">
        <x:f>IF(A38&lt;DATE(2026,8,1),"",IF(C38&gt;0,IF(B38&gt;0,"Future + third-party coexisting","Third-party only"),IF(B38&gt;0,"Future only","No tracked arrivals")))</x:f>
        <x:v>No tracked arrivals</x:v>
      </x:c>
      <x:c r="J38" s="179" t="str">
        <x:f>IF(A38=DATE(2026,8,1),"Completed + near-forward CODEBA data in Arrivals tab; ANP historical monthly backfill pending.","")</x:f>
      </x:c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78" t="n">
        <x:v>46388</x:v>
      </x:c>
      <x:c r="B39" s="169" t="n">
        <x:f>SUMIFS(Arrivals!$G$3:$G$1000,Arrivals!$A$3:$A$1000,"&gt;="&amp;A39,Arrivals!$A$3:$A$1000,"&lt;"&amp;DATE(YEAR(A39),MONTH(A39)+1,1),Arrivals!$D$3:$D$1000,"Completed",Arrivals!$J$3:$J$1000,"Future LR1")</x:f>
        <x:v>0</x:v>
      </x:c>
      <x:c r="C39" s="169" t="n">
        <x:f>SUMIFS(Arrivals!$G$3:$G$1000,Arrivals!$A$3:$A$1000,"&gt;="&amp;A39,Arrivals!$A$3:$A$1000,"&lt;"&amp;DATE(YEAR(A39),MONTH(A39)+1,1),Arrivals!$D$3:$D$1000,"Completed",Arrivals!$J$3:$J$1000,"Third-party")</x:f>
        <x:v>0</x:v>
      </x:c>
      <x:c r="D39" s="169" t="n">
        <x:f>SUMIFS(Arrivals!$G$3:$G$1000,Arrivals!$A$3:$A$1000,"&gt;="&amp;A39,Arrivals!$A$3:$A$1000,"&lt;"&amp;EDATE(A39,1),Arrivals!$D$3:$D$1000,"Scheduled")+SUMIFS(Arrivals!$G$3:$G$1000,Arrivals!$A$3:$A$1000,"&gt;="&amp;A39,Arrivals!$A$3:$A$1000,"&lt;"&amp;EDATE(A39,1),Arrivals!$D$3:$D$1000,"Berthed / Discharging")+SUMIFS(Arrivals!$G$3:$G$1000,Arrivals!$A$3:$A$1000,"&gt;="&amp;A39,Arrivals!$A$3:$A$1000,"&lt;"&amp;EDATE(A39,1),Arrivals!$D$3:$D$1000,"Anchored / Awaiting berth")</x:f>
        <x:v>0</x:v>
      </x:c>
      <x:c r="E39" s="169" t="n">
        <x:f>SUM(B39:D39)</x:f>
        <x:v>0</x:v>
      </x:c>
      <x:c r="F39" s="169" t="n">
        <x:f>SUM(E37:E39)</x:f>
        <x:v>0</x:v>
      </x:c>
      <x:c r="G39" s="179" t="str">
        <x:f>IF(A39&lt;DATE(2026,8,1),"Historical vessel list not backfilled",IF(A39=DATE(2026,8,1),"Live Aratu capture","Forward / update pending"))</x:f>
        <x:v>Forward / update pending</x:v>
      </x:c>
      <x:c r="H39" s="169"/>
      <x:c r="I39" s="179" t="str">
        <x:f>IF(A39&lt;DATE(2026,8,1),"",IF(C39&gt;0,IF(B39&gt;0,"Future + third-party coexisting","Third-party only"),IF(B39&gt;0,"Future only","No tracked arrivals")))</x:f>
        <x:v>No tracked arrivals</x:v>
      </x:c>
      <x:c r="J39" s="179" t="str">
        <x:f>IF(A39=DATE(2026,8,1),"Completed + near-forward CODEBA data in Arrivals tab; ANP historical monthly backfill pending.","")</x:f>
      </x:c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78" t="n">
        <x:v>46419</x:v>
      </x:c>
      <x:c r="B40" s="169" t="n">
        <x:f>SUMIFS(Arrivals!$G$3:$G$1000,Arrivals!$A$3:$A$1000,"&gt;="&amp;A40,Arrivals!$A$3:$A$1000,"&lt;"&amp;DATE(YEAR(A40),MONTH(A40)+1,1),Arrivals!$D$3:$D$1000,"Completed",Arrivals!$J$3:$J$1000,"Future LR1")</x:f>
        <x:v>0</x:v>
      </x:c>
      <x:c r="C40" s="169" t="n">
        <x:f>SUMIFS(Arrivals!$G$3:$G$1000,Arrivals!$A$3:$A$1000,"&gt;="&amp;A40,Arrivals!$A$3:$A$1000,"&lt;"&amp;DATE(YEAR(A40),MONTH(A40)+1,1),Arrivals!$D$3:$D$1000,"Completed",Arrivals!$J$3:$J$1000,"Third-party")</x:f>
        <x:v>0</x:v>
      </x:c>
      <x:c r="D40" s="169" t="n">
        <x:f>SUMIFS(Arrivals!$G$3:$G$1000,Arrivals!$A$3:$A$1000,"&gt;="&amp;A40,Arrivals!$A$3:$A$1000,"&lt;"&amp;EDATE(A40,1),Arrivals!$D$3:$D$1000,"Scheduled")+SUMIFS(Arrivals!$G$3:$G$1000,Arrivals!$A$3:$A$1000,"&gt;="&amp;A40,Arrivals!$A$3:$A$1000,"&lt;"&amp;EDATE(A40,1),Arrivals!$D$3:$D$1000,"Berthed / Discharging")+SUMIFS(Arrivals!$G$3:$G$1000,Arrivals!$A$3:$A$1000,"&gt;="&amp;A40,Arrivals!$A$3:$A$1000,"&lt;"&amp;EDATE(A40,1),Arrivals!$D$3:$D$1000,"Anchored / Awaiting berth")</x:f>
        <x:v>0</x:v>
      </x:c>
      <x:c r="E40" s="169" t="n">
        <x:f>SUM(B40:D40)</x:f>
        <x:v>0</x:v>
      </x:c>
      <x:c r="F40" s="169" t="n">
        <x:f>SUM(E38:E40)</x:f>
        <x:v>0</x:v>
      </x:c>
      <x:c r="G40" s="179" t="str">
        <x:f>IF(A40&lt;DATE(2026,8,1),"Historical vessel list not backfilled",IF(A40=DATE(2026,8,1),"Live Aratu capture","Forward / update pending"))</x:f>
        <x:v>Forward / update pending</x:v>
      </x:c>
      <x:c r="H40" s="169"/>
      <x:c r="I40" s="179" t="str">
        <x:f>IF(A40&lt;DATE(2026,8,1),"",IF(C40&gt;0,IF(B40&gt;0,"Future + third-party coexisting","Third-party only"),IF(B40&gt;0,"Future only","No tracked arrivals")))</x:f>
        <x:v>No tracked arrivals</x:v>
      </x:c>
      <x:c r="J40" s="179" t="str">
        <x:f>IF(A40=DATE(2026,8,1),"Completed + near-forward CODEBA data in Arrivals tab; ANP historical monthly backfill pending.","")</x:f>
      </x:c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78" t="n">
        <x:v>46447</x:v>
      </x:c>
      <x:c r="B41" s="169" t="n">
        <x:f>SUMIFS(Arrivals!$G$3:$G$1000,Arrivals!$A$3:$A$1000,"&gt;="&amp;A41,Arrivals!$A$3:$A$1000,"&lt;"&amp;DATE(YEAR(A41),MONTH(A41)+1,1),Arrivals!$D$3:$D$1000,"Completed",Arrivals!$J$3:$J$1000,"Future LR1")</x:f>
        <x:v>0</x:v>
      </x:c>
      <x:c r="C41" s="169" t="n">
        <x:f>SUMIFS(Arrivals!$G$3:$G$1000,Arrivals!$A$3:$A$1000,"&gt;="&amp;A41,Arrivals!$A$3:$A$1000,"&lt;"&amp;DATE(YEAR(A41),MONTH(A41)+1,1),Arrivals!$D$3:$D$1000,"Completed",Arrivals!$J$3:$J$1000,"Third-party")</x:f>
        <x:v>0</x:v>
      </x:c>
      <x:c r="D41" s="169" t="n">
        <x:f>SUMIFS(Arrivals!$G$3:$G$1000,Arrivals!$A$3:$A$1000,"&gt;="&amp;A41,Arrivals!$A$3:$A$1000,"&lt;"&amp;EDATE(A41,1),Arrivals!$D$3:$D$1000,"Scheduled")+SUMIFS(Arrivals!$G$3:$G$1000,Arrivals!$A$3:$A$1000,"&gt;="&amp;A41,Arrivals!$A$3:$A$1000,"&lt;"&amp;EDATE(A41,1),Arrivals!$D$3:$D$1000,"Berthed / Discharging")+SUMIFS(Arrivals!$G$3:$G$1000,Arrivals!$A$3:$A$1000,"&gt;="&amp;A41,Arrivals!$A$3:$A$1000,"&lt;"&amp;EDATE(A41,1),Arrivals!$D$3:$D$1000,"Anchored / Awaiting berth")</x:f>
        <x:v>0</x:v>
      </x:c>
      <x:c r="E41" s="169" t="n">
        <x:f>SUM(B41:D41)</x:f>
        <x:v>0</x:v>
      </x:c>
      <x:c r="F41" s="169" t="n">
        <x:f>SUM(E39:E41)</x:f>
        <x:v>0</x:v>
      </x:c>
      <x:c r="G41" s="179" t="str">
        <x:f>IF(A41&lt;DATE(2026,8,1),"Historical vessel list not backfilled",IF(A41=DATE(2026,8,1),"Live Aratu capture","Forward / update pending"))</x:f>
        <x:v>Forward / update pending</x:v>
      </x:c>
      <x:c r="H41" s="169"/>
      <x:c r="I41" s="179" t="str">
        <x:f>IF(A41&lt;DATE(2026,8,1),"",IF(C41&gt;0,IF(B41&gt;0,"Future + third-party coexisting","Third-party only"),IF(B41&gt;0,"Future only","No tracked arrivals")))</x:f>
        <x:v>No tracked arrivals</x:v>
      </x:c>
      <x:c r="J41" s="179" t="str">
        <x:f>IF(A41=DATE(2026,8,1),"Completed + near-forward CODEBA data in Arrivals tab; ANP historical monthly backfill pending.","")</x:f>
      </x:c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78" t="n">
        <x:v>46478</x:v>
      </x:c>
      <x:c r="B42" s="169" t="n">
        <x:f>SUMIFS(Arrivals!$G$3:$G$1000,Arrivals!$A$3:$A$1000,"&gt;="&amp;A42,Arrivals!$A$3:$A$1000,"&lt;"&amp;DATE(YEAR(A42),MONTH(A42)+1,1),Arrivals!$D$3:$D$1000,"Completed",Arrivals!$J$3:$J$1000,"Future LR1")</x:f>
        <x:v>0</x:v>
      </x:c>
      <x:c r="C42" s="169" t="n">
        <x:f>SUMIFS(Arrivals!$G$3:$G$1000,Arrivals!$A$3:$A$1000,"&gt;="&amp;A42,Arrivals!$A$3:$A$1000,"&lt;"&amp;DATE(YEAR(A42),MONTH(A42)+1,1),Arrivals!$D$3:$D$1000,"Completed",Arrivals!$J$3:$J$1000,"Third-party")</x:f>
        <x:v>0</x:v>
      </x:c>
      <x:c r="D42" s="169" t="n">
        <x:f>SUMIFS(Arrivals!$G$3:$G$1000,Arrivals!$A$3:$A$1000,"&gt;="&amp;A42,Arrivals!$A$3:$A$1000,"&lt;"&amp;EDATE(A42,1),Arrivals!$D$3:$D$1000,"Scheduled")+SUMIFS(Arrivals!$G$3:$G$1000,Arrivals!$A$3:$A$1000,"&gt;="&amp;A42,Arrivals!$A$3:$A$1000,"&lt;"&amp;EDATE(A42,1),Arrivals!$D$3:$D$1000,"Berthed / Discharging")+SUMIFS(Arrivals!$G$3:$G$1000,Arrivals!$A$3:$A$1000,"&gt;="&amp;A42,Arrivals!$A$3:$A$1000,"&lt;"&amp;EDATE(A42,1),Arrivals!$D$3:$D$1000,"Anchored / Awaiting berth")</x:f>
        <x:v>0</x:v>
      </x:c>
      <x:c r="E42" s="169" t="n">
        <x:f>SUM(B42:D42)</x:f>
        <x:v>0</x:v>
      </x:c>
      <x:c r="F42" s="169" t="n">
        <x:f>SUM(E40:E42)</x:f>
        <x:v>0</x:v>
      </x:c>
      <x:c r="G42" s="179" t="str">
        <x:f>IF(A42&lt;DATE(2026,8,1),"Historical vessel list not backfilled",IF(A42=DATE(2026,8,1),"Live Aratu capture","Forward / update pending"))</x:f>
        <x:v>Forward / update pending</x:v>
      </x:c>
      <x:c r="H42" s="169"/>
      <x:c r="I42" s="179" t="str">
        <x:f>IF(A42&lt;DATE(2026,8,1),"",IF(C42&gt;0,IF(B42&gt;0,"Future + third-party coexisting","Third-party only"),IF(B42&gt;0,"Future only","No tracked arrivals")))</x:f>
        <x:v>No tracked arrivals</x:v>
      </x:c>
      <x:c r="J42" s="179" t="str">
        <x:f>IF(A42=DATE(2026,8,1),"Completed + near-forward CODEBA data in Arrivals tab; ANP historical monthly backfill pending.","")</x:f>
      </x:c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78" t="n">
        <x:v>46508</x:v>
      </x:c>
      <x:c r="B43" s="169" t="n">
        <x:f>SUMIFS(Arrivals!$G$3:$G$1000,Arrivals!$A$3:$A$1000,"&gt;="&amp;A43,Arrivals!$A$3:$A$1000,"&lt;"&amp;DATE(YEAR(A43),MONTH(A43)+1,1),Arrivals!$D$3:$D$1000,"Completed",Arrivals!$J$3:$J$1000,"Future LR1")</x:f>
        <x:v>0</x:v>
      </x:c>
      <x:c r="C43" s="169" t="n">
        <x:f>SUMIFS(Arrivals!$G$3:$G$1000,Arrivals!$A$3:$A$1000,"&gt;="&amp;A43,Arrivals!$A$3:$A$1000,"&lt;"&amp;DATE(YEAR(A43),MONTH(A43)+1,1),Arrivals!$D$3:$D$1000,"Completed",Arrivals!$J$3:$J$1000,"Third-party")</x:f>
        <x:v>0</x:v>
      </x:c>
      <x:c r="D43" s="169" t="n">
        <x:f>SUMIFS(Arrivals!$G$3:$G$1000,Arrivals!$A$3:$A$1000,"&gt;="&amp;A43,Arrivals!$A$3:$A$1000,"&lt;"&amp;EDATE(A43,1),Arrivals!$D$3:$D$1000,"Scheduled")+SUMIFS(Arrivals!$G$3:$G$1000,Arrivals!$A$3:$A$1000,"&gt;="&amp;A43,Arrivals!$A$3:$A$1000,"&lt;"&amp;EDATE(A43,1),Arrivals!$D$3:$D$1000,"Berthed / Discharging")+SUMIFS(Arrivals!$G$3:$G$1000,Arrivals!$A$3:$A$1000,"&gt;="&amp;A43,Arrivals!$A$3:$A$1000,"&lt;"&amp;EDATE(A43,1),Arrivals!$D$3:$D$1000,"Anchored / Awaiting berth")</x:f>
        <x:v>0</x:v>
      </x:c>
      <x:c r="E43" s="169" t="n">
        <x:f>SUM(B43:D43)</x:f>
        <x:v>0</x:v>
      </x:c>
      <x:c r="F43" s="169" t="n">
        <x:f>SUM(E41:E43)</x:f>
        <x:v>0</x:v>
      </x:c>
      <x:c r="G43" s="179" t="str">
        <x:f>IF(A43&lt;DATE(2026,8,1),"Historical vessel list not backfilled",IF(A43=DATE(2026,8,1),"Live Aratu capture","Forward / update pending"))</x:f>
        <x:v>Forward / update pending</x:v>
      </x:c>
      <x:c r="H43" s="169"/>
      <x:c r="I43" s="179" t="str">
        <x:f>IF(A43&lt;DATE(2026,8,1),"",IF(C43&gt;0,IF(B43&gt;0,"Future + third-party coexisting","Third-party only"),IF(B43&gt;0,"Future only","No tracked arrivals")))</x:f>
        <x:v>No tracked arrivals</x:v>
      </x:c>
      <x:c r="J43" s="179" t="str">
        <x:f>IF(A43=DATE(2026,8,1),"Completed + near-forward CODEBA data in Arrivals tab; ANP historical monthly backfill pending.","")</x:f>
      </x:c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78" t="n">
        <x:v>46539</x:v>
      </x:c>
      <x:c r="B44" s="169" t="n">
        <x:f>SUMIFS(Arrivals!$G$3:$G$1000,Arrivals!$A$3:$A$1000,"&gt;="&amp;A44,Arrivals!$A$3:$A$1000,"&lt;"&amp;DATE(YEAR(A44),MONTH(A44)+1,1),Arrivals!$D$3:$D$1000,"Completed",Arrivals!$J$3:$J$1000,"Future LR1")</x:f>
        <x:v>0</x:v>
      </x:c>
      <x:c r="C44" s="169" t="n">
        <x:f>SUMIFS(Arrivals!$G$3:$G$1000,Arrivals!$A$3:$A$1000,"&gt;="&amp;A44,Arrivals!$A$3:$A$1000,"&lt;"&amp;DATE(YEAR(A44),MONTH(A44)+1,1),Arrivals!$D$3:$D$1000,"Completed",Arrivals!$J$3:$J$1000,"Third-party")</x:f>
        <x:v>0</x:v>
      </x:c>
      <x:c r="D44" s="169" t="n">
        <x:f>SUMIFS(Arrivals!$G$3:$G$1000,Arrivals!$A$3:$A$1000,"&gt;="&amp;A44,Arrivals!$A$3:$A$1000,"&lt;"&amp;EDATE(A44,1),Arrivals!$D$3:$D$1000,"Scheduled")+SUMIFS(Arrivals!$G$3:$G$1000,Arrivals!$A$3:$A$1000,"&gt;="&amp;A44,Arrivals!$A$3:$A$1000,"&lt;"&amp;EDATE(A44,1),Arrivals!$D$3:$D$1000,"Berthed / Discharging")+SUMIFS(Arrivals!$G$3:$G$1000,Arrivals!$A$3:$A$1000,"&gt;="&amp;A44,Arrivals!$A$3:$A$1000,"&lt;"&amp;EDATE(A44,1),Arrivals!$D$3:$D$1000,"Anchored / Awaiting berth")</x:f>
        <x:v>0</x:v>
      </x:c>
      <x:c r="E44" s="169" t="n">
        <x:f>SUM(B44:D44)</x:f>
        <x:v>0</x:v>
      </x:c>
      <x:c r="F44" s="169" t="n">
        <x:f>SUM(E42:E44)</x:f>
        <x:v>0</x:v>
      </x:c>
      <x:c r="G44" s="179" t="str">
        <x:f>IF(A44&lt;DATE(2026,8,1),"Historical vessel list not backfilled",IF(A44=DATE(2026,8,1),"Live Aratu capture","Forward / update pending"))</x:f>
        <x:v>Forward / update pending</x:v>
      </x:c>
      <x:c r="H44" s="169"/>
      <x:c r="I44" s="179" t="str">
        <x:f>IF(A44&lt;DATE(2026,8,1),"",IF(C44&gt;0,IF(B44&gt;0,"Future + third-party coexisting","Third-party only"),IF(B44&gt;0,"Future only","No tracked arrivals")))</x:f>
        <x:v>No tracked arrivals</x:v>
      </x:c>
      <x:c r="J44" s="179" t="str">
        <x:f>IF(A44=DATE(2026,8,1),"Completed + near-forward CODEBA data in Arrivals tab; ANP historical monthly backfill pending.","")</x:f>
      </x:c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78" t="n">
        <x:v>46569</x:v>
      </x:c>
      <x:c r="B45" s="169" t="n">
        <x:f>SUMIFS(Arrivals!$G$3:$G$1000,Arrivals!$A$3:$A$1000,"&gt;="&amp;A45,Arrivals!$A$3:$A$1000,"&lt;"&amp;DATE(YEAR(A45),MONTH(A45)+1,1),Arrivals!$D$3:$D$1000,"Completed",Arrivals!$J$3:$J$1000,"Future LR1")</x:f>
        <x:v>0</x:v>
      </x:c>
      <x:c r="C45" s="169" t="n">
        <x:f>SUMIFS(Arrivals!$G$3:$G$1000,Arrivals!$A$3:$A$1000,"&gt;="&amp;A45,Arrivals!$A$3:$A$1000,"&lt;"&amp;DATE(YEAR(A45),MONTH(A45)+1,1),Arrivals!$D$3:$D$1000,"Completed",Arrivals!$J$3:$J$1000,"Third-party")</x:f>
        <x:v>0</x:v>
      </x:c>
      <x:c r="D45" s="169" t="n">
        <x:f>SUMIFS(Arrivals!$G$3:$G$1000,Arrivals!$A$3:$A$1000,"&gt;="&amp;A45,Arrivals!$A$3:$A$1000,"&lt;"&amp;EDATE(A45,1),Arrivals!$D$3:$D$1000,"Scheduled")+SUMIFS(Arrivals!$G$3:$G$1000,Arrivals!$A$3:$A$1000,"&gt;="&amp;A45,Arrivals!$A$3:$A$1000,"&lt;"&amp;EDATE(A45,1),Arrivals!$D$3:$D$1000,"Berthed / Discharging")+SUMIFS(Arrivals!$G$3:$G$1000,Arrivals!$A$3:$A$1000,"&gt;="&amp;A45,Arrivals!$A$3:$A$1000,"&lt;"&amp;EDATE(A45,1),Arrivals!$D$3:$D$1000,"Anchored / Awaiting berth")</x:f>
        <x:v>0</x:v>
      </x:c>
      <x:c r="E45" s="169" t="n">
        <x:f>SUM(B45:D45)</x:f>
        <x:v>0</x:v>
      </x:c>
      <x:c r="F45" s="169" t="n">
        <x:f>SUM(E43:E45)</x:f>
        <x:v>0</x:v>
      </x:c>
      <x:c r="G45" s="179" t="str">
        <x:f>IF(A45&lt;DATE(2026,8,1),"Historical vessel list not backfilled",IF(A45=DATE(2026,8,1),"Live Aratu capture","Forward / update pending"))</x:f>
        <x:v>Forward / update pending</x:v>
      </x:c>
      <x:c r="H45" s="169"/>
      <x:c r="I45" s="179" t="str">
        <x:f>IF(A45&lt;DATE(2026,8,1),"",IF(C45&gt;0,IF(B45&gt;0,"Future + third-party coexisting","Third-party only"),IF(B45&gt;0,"Future only","No tracked arrivals")))</x:f>
        <x:v>No tracked arrivals</x:v>
      </x:c>
      <x:c r="J45" s="179" t="str">
        <x:f>IF(A45=DATE(2026,8,1),"Completed + near-forward CODEBA data in Arrivals tab; ANP historical monthly backfill pending.","")</x:f>
      </x:c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78" t="n">
        <x:v>46600</x:v>
      </x:c>
      <x:c r="B46" s="169" t="n">
        <x:f>SUMIFS(Arrivals!$G$3:$G$1000,Arrivals!$A$3:$A$1000,"&gt;="&amp;A46,Arrivals!$A$3:$A$1000,"&lt;"&amp;DATE(YEAR(A46),MONTH(A46)+1,1),Arrivals!$D$3:$D$1000,"Completed",Arrivals!$J$3:$J$1000,"Future LR1")</x:f>
        <x:v>0</x:v>
      </x:c>
      <x:c r="C46" s="169" t="n">
        <x:f>SUMIFS(Arrivals!$G$3:$G$1000,Arrivals!$A$3:$A$1000,"&gt;="&amp;A46,Arrivals!$A$3:$A$1000,"&lt;"&amp;DATE(YEAR(A46),MONTH(A46)+1,1),Arrivals!$D$3:$D$1000,"Completed",Arrivals!$J$3:$J$1000,"Third-party")</x:f>
        <x:v>0</x:v>
      </x:c>
      <x:c r="D46" s="169" t="n">
        <x:f>SUMIFS(Arrivals!$G$3:$G$1000,Arrivals!$A$3:$A$1000,"&gt;="&amp;A46,Arrivals!$A$3:$A$1000,"&lt;"&amp;EDATE(A46,1),Arrivals!$D$3:$D$1000,"Scheduled")+SUMIFS(Arrivals!$G$3:$G$1000,Arrivals!$A$3:$A$1000,"&gt;="&amp;A46,Arrivals!$A$3:$A$1000,"&lt;"&amp;EDATE(A46,1),Arrivals!$D$3:$D$1000,"Berthed / Discharging")+SUMIFS(Arrivals!$G$3:$G$1000,Arrivals!$A$3:$A$1000,"&gt;="&amp;A46,Arrivals!$A$3:$A$1000,"&lt;"&amp;EDATE(A46,1),Arrivals!$D$3:$D$1000,"Anchored / Awaiting berth")</x:f>
        <x:v>0</x:v>
      </x:c>
      <x:c r="E46" s="169" t="n">
        <x:f>SUM(B46:D46)</x:f>
        <x:v>0</x:v>
      </x:c>
      <x:c r="F46" s="169" t="n">
        <x:f>SUM(E44:E46)</x:f>
        <x:v>0</x:v>
      </x:c>
      <x:c r="G46" s="179" t="str">
        <x:f>IF(A46&lt;DATE(2026,8,1),"Historical vessel list not backfilled",IF(A46=DATE(2026,8,1),"Live Aratu capture","Forward / update pending"))</x:f>
        <x:v>Forward / update pending</x:v>
      </x:c>
      <x:c r="H46" s="169"/>
      <x:c r="I46" s="179" t="str">
        <x:f>IF(A46&lt;DATE(2026,8,1),"",IF(C46&gt;0,IF(B46&gt;0,"Future + third-party coexisting","Third-party only"),IF(B46&gt;0,"Future only","No tracked arrivals")))</x:f>
        <x:v>No tracked arrivals</x:v>
      </x:c>
      <x:c r="J46" s="179" t="str">
        <x:f>IF(A46=DATE(2026,8,1),"Completed + near-forward CODEBA data in Arrivals tab; ANP historical monthly backfill pending.","")</x:f>
      </x:c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78" t="n">
        <x:v>46631</x:v>
      </x:c>
      <x:c r="B47" s="169" t="n">
        <x:f>SUMIFS(Arrivals!$G$3:$G$1000,Arrivals!$A$3:$A$1000,"&gt;="&amp;A47,Arrivals!$A$3:$A$1000,"&lt;"&amp;DATE(YEAR(A47),MONTH(A47)+1,1),Arrivals!$D$3:$D$1000,"Completed",Arrivals!$J$3:$J$1000,"Future LR1")</x:f>
        <x:v>0</x:v>
      </x:c>
      <x:c r="C47" s="169" t="n">
        <x:f>SUMIFS(Arrivals!$G$3:$G$1000,Arrivals!$A$3:$A$1000,"&gt;="&amp;A47,Arrivals!$A$3:$A$1000,"&lt;"&amp;DATE(YEAR(A47),MONTH(A47)+1,1),Arrivals!$D$3:$D$1000,"Completed",Arrivals!$J$3:$J$1000,"Third-party")</x:f>
        <x:v>0</x:v>
      </x:c>
      <x:c r="D47" s="169" t="n">
        <x:f>SUMIFS(Arrivals!$G$3:$G$1000,Arrivals!$A$3:$A$1000,"&gt;="&amp;A47,Arrivals!$A$3:$A$1000,"&lt;"&amp;EDATE(A47,1),Arrivals!$D$3:$D$1000,"Scheduled")+SUMIFS(Arrivals!$G$3:$G$1000,Arrivals!$A$3:$A$1000,"&gt;="&amp;A47,Arrivals!$A$3:$A$1000,"&lt;"&amp;EDATE(A47,1),Arrivals!$D$3:$D$1000,"Berthed / Discharging")+SUMIFS(Arrivals!$G$3:$G$1000,Arrivals!$A$3:$A$1000,"&gt;="&amp;A47,Arrivals!$A$3:$A$1000,"&lt;"&amp;EDATE(A47,1),Arrivals!$D$3:$D$1000,"Anchored / Awaiting berth")</x:f>
        <x:v>0</x:v>
      </x:c>
      <x:c r="E47" s="169" t="n">
        <x:f>SUM(B47:D47)</x:f>
        <x:v>0</x:v>
      </x:c>
      <x:c r="F47" s="169" t="n">
        <x:f>SUM(E45:E47)</x:f>
        <x:v>0</x:v>
      </x:c>
      <x:c r="G47" s="179" t="str">
        <x:f>IF(A47&lt;DATE(2026,8,1),"Historical vessel list not backfilled",IF(A47=DATE(2026,8,1),"Live Aratu capture","Forward / update pending"))</x:f>
        <x:v>Forward / update pending</x:v>
      </x:c>
      <x:c r="H47" s="169"/>
      <x:c r="I47" s="179" t="str">
        <x:f>IF(A47&lt;DATE(2026,8,1),"",IF(C47&gt;0,IF(B47&gt;0,"Future + third-party coexisting","Third-party only"),IF(B47&gt;0,"Future only","No tracked arrivals")))</x:f>
        <x:v>No tracked arrivals</x:v>
      </x:c>
      <x:c r="J47" s="179" t="str">
        <x:f>IF(A47=DATE(2026,8,1),"Completed + near-forward CODEBA data in Arrivals tab; ANP historical monthly backfill pending.","")</x:f>
      </x:c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78" t="n">
        <x:v>46661</x:v>
      </x:c>
      <x:c r="B48" s="169" t="n">
        <x:f>SUMIFS(Arrivals!$G$3:$G$1000,Arrivals!$A$3:$A$1000,"&gt;="&amp;A48,Arrivals!$A$3:$A$1000,"&lt;"&amp;DATE(YEAR(A48),MONTH(A48)+1,1),Arrivals!$D$3:$D$1000,"Completed",Arrivals!$J$3:$J$1000,"Future LR1")</x:f>
        <x:v>0</x:v>
      </x:c>
      <x:c r="C48" s="169" t="n">
        <x:f>SUMIFS(Arrivals!$G$3:$G$1000,Arrivals!$A$3:$A$1000,"&gt;="&amp;A48,Arrivals!$A$3:$A$1000,"&lt;"&amp;DATE(YEAR(A48),MONTH(A48)+1,1),Arrivals!$D$3:$D$1000,"Completed",Arrivals!$J$3:$J$1000,"Third-party")</x:f>
        <x:v>0</x:v>
      </x:c>
      <x:c r="D48" s="169" t="n">
        <x:f>SUMIFS(Arrivals!$G$3:$G$1000,Arrivals!$A$3:$A$1000,"&gt;="&amp;A48,Arrivals!$A$3:$A$1000,"&lt;"&amp;EDATE(A48,1),Arrivals!$D$3:$D$1000,"Scheduled")+SUMIFS(Arrivals!$G$3:$G$1000,Arrivals!$A$3:$A$1000,"&gt;="&amp;A48,Arrivals!$A$3:$A$1000,"&lt;"&amp;EDATE(A48,1),Arrivals!$D$3:$D$1000,"Berthed / Discharging")+SUMIFS(Arrivals!$G$3:$G$1000,Arrivals!$A$3:$A$1000,"&gt;="&amp;A48,Arrivals!$A$3:$A$1000,"&lt;"&amp;EDATE(A48,1),Arrivals!$D$3:$D$1000,"Anchored / Awaiting berth")</x:f>
        <x:v>0</x:v>
      </x:c>
      <x:c r="E48" s="169" t="n">
        <x:f>SUM(B48:D48)</x:f>
        <x:v>0</x:v>
      </x:c>
      <x:c r="F48" s="169" t="n">
        <x:f>SUM(E46:E48)</x:f>
        <x:v>0</x:v>
      </x:c>
      <x:c r="G48" s="179" t="str">
        <x:f>IF(A48&lt;DATE(2026,8,1),"Historical vessel list not backfilled",IF(A48=DATE(2026,8,1),"Live Aratu capture","Forward / update pending"))</x:f>
        <x:v>Forward / update pending</x:v>
      </x:c>
      <x:c r="H48" s="169"/>
      <x:c r="I48" s="179" t="str">
        <x:f>IF(A48&lt;DATE(2026,8,1),"",IF(C48&gt;0,IF(B48&gt;0,"Future + third-party coexisting","Third-party only"),IF(B48&gt;0,"Future only","No tracked arrivals")))</x:f>
        <x:v>No tracked arrivals</x:v>
      </x:c>
      <x:c r="J48" s="179" t="str">
        <x:f>IF(A48=DATE(2026,8,1),"Completed + near-forward CODEBA data in Arrivals tab; ANP historical monthly backfill pending.","")</x:f>
      </x:c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78" t="n">
        <x:v>46692</x:v>
      </x:c>
      <x:c r="B49" s="169" t="n">
        <x:f>SUMIFS(Arrivals!$G$3:$G$1000,Arrivals!$A$3:$A$1000,"&gt;="&amp;A49,Arrivals!$A$3:$A$1000,"&lt;"&amp;DATE(YEAR(A49),MONTH(A49)+1,1),Arrivals!$D$3:$D$1000,"Completed",Arrivals!$J$3:$J$1000,"Future LR1")</x:f>
        <x:v>0</x:v>
      </x:c>
      <x:c r="C49" s="169" t="n">
        <x:f>SUMIFS(Arrivals!$G$3:$G$1000,Arrivals!$A$3:$A$1000,"&gt;="&amp;A49,Arrivals!$A$3:$A$1000,"&lt;"&amp;DATE(YEAR(A49),MONTH(A49)+1,1),Arrivals!$D$3:$D$1000,"Completed",Arrivals!$J$3:$J$1000,"Third-party")</x:f>
        <x:v>0</x:v>
      </x:c>
      <x:c r="D49" s="169" t="n">
        <x:f>SUMIFS(Arrivals!$G$3:$G$1000,Arrivals!$A$3:$A$1000,"&gt;="&amp;A49,Arrivals!$A$3:$A$1000,"&lt;"&amp;EDATE(A49,1),Arrivals!$D$3:$D$1000,"Scheduled")+SUMIFS(Arrivals!$G$3:$G$1000,Arrivals!$A$3:$A$1000,"&gt;="&amp;A49,Arrivals!$A$3:$A$1000,"&lt;"&amp;EDATE(A49,1),Arrivals!$D$3:$D$1000,"Berthed / Discharging")+SUMIFS(Arrivals!$G$3:$G$1000,Arrivals!$A$3:$A$1000,"&gt;="&amp;A49,Arrivals!$A$3:$A$1000,"&lt;"&amp;EDATE(A49,1),Arrivals!$D$3:$D$1000,"Anchored / Awaiting berth")</x:f>
        <x:v>0</x:v>
      </x:c>
      <x:c r="E49" s="169" t="n">
        <x:f>SUM(B49:D49)</x:f>
        <x:v>0</x:v>
      </x:c>
      <x:c r="F49" s="169" t="n">
        <x:f>SUM(E47:E49)</x:f>
        <x:v>0</x:v>
      </x:c>
      <x:c r="G49" s="179" t="str">
        <x:f>IF(A49&lt;DATE(2026,8,1),"Historical vessel list not backfilled",IF(A49=DATE(2026,8,1),"Live Aratu capture","Forward / update pending"))</x:f>
        <x:v>Forward / update pending</x:v>
      </x:c>
      <x:c r="H49" s="169"/>
      <x:c r="I49" s="179" t="str">
        <x:f>IF(A49&lt;DATE(2026,8,1),"",IF(C49&gt;0,IF(B49&gt;0,"Future + third-party coexisting","Third-party only"),IF(B49&gt;0,"Future only","No tracked arrivals")))</x:f>
        <x:v>No tracked arrivals</x:v>
      </x:c>
      <x:c r="J49" s="179" t="str">
        <x:f>IF(A49=DATE(2026,8,1),"Completed + near-forward CODEBA data in Arrivals tab; ANP historical monthly backfill pending.","")</x:f>
      </x:c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78" t="n">
        <x:v>46722</x:v>
      </x:c>
      <x:c r="B50" s="169" t="n">
        <x:f>SUMIFS(Arrivals!$G$3:$G$1000,Arrivals!$A$3:$A$1000,"&gt;="&amp;A50,Arrivals!$A$3:$A$1000,"&lt;"&amp;DATE(YEAR(A50),MONTH(A50)+1,1),Arrivals!$D$3:$D$1000,"Completed",Arrivals!$J$3:$J$1000,"Future LR1")</x:f>
        <x:v>0</x:v>
      </x:c>
      <x:c r="C50" s="169" t="n">
        <x:f>SUMIFS(Arrivals!$G$3:$G$1000,Arrivals!$A$3:$A$1000,"&gt;="&amp;A50,Arrivals!$A$3:$A$1000,"&lt;"&amp;DATE(YEAR(A50),MONTH(A50)+1,1),Arrivals!$D$3:$D$1000,"Completed",Arrivals!$J$3:$J$1000,"Third-party")</x:f>
        <x:v>0</x:v>
      </x:c>
      <x:c r="D50" s="169" t="n">
        <x:f>SUMIFS(Arrivals!$G$3:$G$1000,Arrivals!$A$3:$A$1000,"&gt;="&amp;A50,Arrivals!$A$3:$A$1000,"&lt;"&amp;EDATE(A50,1),Arrivals!$D$3:$D$1000,"Scheduled")+SUMIFS(Arrivals!$G$3:$G$1000,Arrivals!$A$3:$A$1000,"&gt;="&amp;A50,Arrivals!$A$3:$A$1000,"&lt;"&amp;EDATE(A50,1),Arrivals!$D$3:$D$1000,"Berthed / Discharging")+SUMIFS(Arrivals!$G$3:$G$1000,Arrivals!$A$3:$A$1000,"&gt;="&amp;A50,Arrivals!$A$3:$A$1000,"&lt;"&amp;EDATE(A50,1),Arrivals!$D$3:$D$1000,"Anchored / Awaiting berth")</x:f>
        <x:v>0</x:v>
      </x:c>
      <x:c r="E50" s="169" t="n">
        <x:f>SUM(B50:D50)</x:f>
        <x:v>0</x:v>
      </x:c>
      <x:c r="F50" s="169" t="n">
        <x:f>SUM(E48:E50)</x:f>
        <x:v>0</x:v>
      </x:c>
      <x:c r="G50" s="179" t="str">
        <x:f>IF(A50&lt;DATE(2026,8,1),"Historical vessel list not backfilled",IF(A50=DATE(2026,8,1),"Live Aratu capture","Forward / update pending"))</x:f>
        <x:v>Forward / update pending</x:v>
      </x:c>
      <x:c r="H50" s="169"/>
      <x:c r="I50" s="179" t="str">
        <x:f>IF(A50&lt;DATE(2026,8,1),"",IF(C50&gt;0,IF(B50&gt;0,"Future + third-party coexisting","Third-party only"),IF(B50&gt;0,"Future only","No tracked arrivals")))</x:f>
        <x:v>No tracked arrivals</x:v>
      </x:c>
      <x:c r="J50" s="179" t="str">
        <x:f>IF(A50=DATE(2026,8,1),"Completed + near-forward CODEBA data in Arrivals tab; ANP historical monthly backfill pending.","")</x:f>
      </x:c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</x:mergeCells>
  <x:conditionalFormatting sqref="I3:I50">
    <x:cfRule type="expression" dxfId="3" priority="1">
      <x:formula>ISNUMBER(SEARCH("coexisting",$I3))</x:formula>
    </x:cfRule>
    <x:cfRule type="expression" dxfId="4" priority="2">
      <x:formula>$I3="Future only"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</x:cols>
  <x:sheetData>
    <x:row r="1" ht="26" customHeight="1">
      <x:c r="A1" s="182" t="str">
        <x:v>Braskem Brazil Feedstock &amp; Cracker Benchmarks</x:v>
      </x:c>
      <x:c r="B1" s="182"/>
      <x:c r="C1" s="182"/>
      <x:c r="D1" s="182"/>
      <x:c r="E1" s="182"/>
      <x:c r="F1" s="182"/>
      <x:c r="G1" s="182"/>
      <x:c r="H1" s="182"/>
      <x:c r="I1" s="182"/>
      <x:c r="J1" s="18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Year</x:v>
      </x:c>
      <x:c r="B2" s="12" t="str">
        <x:v>Brazil Source %</x:v>
      </x:c>
      <x:c r="C2" s="12" t="str">
        <x:v>North America %</x:v>
      </x:c>
      <x:c r="D2" s="12" t="str">
        <x:v>Europe %</x:v>
      </x:c>
      <x:c r="E2" s="12" t="str">
        <x:v>South America %</x:v>
      </x:c>
      <x:c r="F2" s="12" t="str">
        <x:v>Africa %</x:v>
      </x:c>
      <x:c r="G2" s="12" t="str">
        <x:v>Imported %</x:v>
      </x:c>
      <x:c r="H2" s="12" t="str">
        <x:v>N. America / Imports %</x:v>
      </x:c>
      <x:c r="I2" s="12" t="str">
        <x:v>Ethylene Production (kt)</x:v>
      </x:c>
      <x:c r="J2" s="12" t="str">
        <x:v>Ethylene Utilization</x:v>
      </x:c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n">
        <x:v>2023</x:v>
      </x:c>
      <x:c r="B3" s="183" t="n">
        <x:v>0.43</x:v>
      </x:c>
      <x:c r="C3" s="183" t="n">
        <x:v>0.15</x:v>
      </x:c>
      <x:c r="D3" s="183" t="n">
        <x:v>0.12</x:v>
      </x:c>
      <x:c r="E3" s="183" t="n">
        <x:v>0.08</x:v>
      </x:c>
      <x:c r="F3" s="183" t="n">
        <x:v>0.21</x:v>
      </x:c>
      <x:c r="G3" s="184" t="n">
        <x:f>1-B3</x:f>
        <x:v>0.5700000000000001</x:v>
      </x:c>
      <x:c r="H3" s="184" t="n">
        <x:f>C3/G3</x:f>
        <x:v>0.2631578947368421</x:v>
      </x:c>
      <x:c r="I3" s="185" t="n">
        <x:v>2653</x:v>
      </x:c>
      <x:c r="J3" s="183" t="n">
        <x:v>0.71</x:v>
      </x:c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n">
        <x:v>2024</x:v>
      </x:c>
      <x:c r="B4" s="183" t="n">
        <x:v>0.43</x:v>
      </x:c>
      <x:c r="C4" s="183" t="n">
        <x:v>0.24</x:v>
      </x:c>
      <x:c r="D4" s="183" t="n">
        <x:v>0.1</x:v>
      </x:c>
      <x:c r="E4" s="183" t="n">
        <x:v>0.01</x:v>
      </x:c>
      <x:c r="F4" s="183" t="n">
        <x:v>0.22</x:v>
      </x:c>
      <x:c r="G4" s="184" t="n">
        <x:f>1-B4</x:f>
        <x:v>0.5700000000000001</x:v>
      </x:c>
      <x:c r="H4" s="184" t="n">
        <x:f>C4/G4</x:f>
        <x:v>0.4210526315789473</x:v>
      </x:c>
      <x:c r="I4" s="185" t="n">
        <x:v>2693</x:v>
      </x:c>
      <x:c r="J4" s="183" t="n">
        <x:v>0.72</x:v>
      </x:c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n">
        <x:v>2025</x:v>
      </x:c>
      <x:c r="B5" s="183" t="n">
        <x:v>0.45</x:v>
      </x:c>
      <x:c r="C5" s="183" t="n">
        <x:v>0.31</x:v>
      </x:c>
      <x:c r="D5" s="183" t="n">
        <x:v>0.06</x:v>
      </x:c>
      <x:c r="E5" s="183" t="n">
        <x:v>0.01</x:v>
      </x:c>
      <x:c r="F5" s="183" t="n">
        <x:v>0.17</x:v>
      </x:c>
      <x:c r="G5" s="184" t="n">
        <x:f>1-B5</x:f>
        <x:v>0.55</x:v>
      </x:c>
      <x:c r="H5" s="184" t="n">
        <x:f>C5/G5</x:f>
        <x:v>0.5636363636363636</x:v>
      </x:c>
      <x:c r="I5" s="185" t="n">
        <x:v>2559</x:v>
      </x:c>
      <x:c r="J5" s="183" t="n">
        <x:v>0.68</x:v>
      </x:c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76"/>
      <x:c r="B6" s="176"/>
      <x:c r="C6" s="176"/>
      <x:c r="D6" s="176"/>
      <x:c r="E6" s="176"/>
      <x:c r="F6" s="176"/>
      <x:c r="G6" s="176"/>
      <x:c r="H6" s="176"/>
      <x:c r="I6" s="176"/>
      <x:c r="J6" s="17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86" t="str">
        <x:v>Interpretation</x:v>
      </x:c>
      <x:c r="B7" s="186"/>
      <x:c r="C7" s="186"/>
      <x:c r="D7" s="186"/>
      <x:c r="E7" s="186"/>
      <x:c r="F7" s="186"/>
      <x:c r="G7" s="186"/>
      <x:c r="H7" s="186"/>
      <x:c r="I7" s="186"/>
      <x:c r="J7" s="18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63" t="str">
        <x:v>North America rose from 15% of total feedstock in 2023 to 31% in 2025, while total imports were 55% in 2025. North America therefore represented ~56% of imported feedstock before the Future fleet arrived. The monitor tests whether third-party arrivals remain elevated as Future-fleet tonnes ramp.</x:v>
      </x:c>
      <x:c r="B8" s="163"/>
      <x:c r="C8" s="163"/>
      <x:c r="D8" s="163"/>
      <x:c r="E8" s="163"/>
      <x:c r="F8" s="163"/>
      <x:c r="G8" s="163"/>
      <x:c r="H8" s="163"/>
      <x:c r="I8" s="163"/>
      <x:c r="J8" s="163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63"/>
      <x:c r="B9" s="163"/>
      <x:c r="C9" s="163"/>
      <x:c r="D9" s="163"/>
      <x:c r="E9" s="163"/>
      <x:c r="F9" s="163"/>
      <x:c r="G9" s="163"/>
      <x:c r="H9" s="163"/>
      <x:c r="I9" s="163"/>
      <x:c r="J9" s="163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63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6"/>
      <x:c r="B11" s="176"/>
      <x:c r="C11" s="176"/>
      <x:c r="D11" s="176"/>
      <x:c r="E11" s="176"/>
      <x:c r="F11" s="176"/>
      <x:c r="G11" s="176"/>
      <x:c r="H11" s="176"/>
      <x:c r="I11" s="176"/>
      <x:c r="J11" s="17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2" t="str">
        <x:v>Source Item</x:v>
      </x:c>
      <x:c r="B12" s="12" t="str">
        <x:v>URL</x:v>
      </x:c>
      <x:c r="C12" s="12" t="str">
        <x:v>Note</x:v>
      </x:c>
      <x:c r="D12" s="176"/>
      <x:c r="E12" s="176"/>
      <x:c r="F12" s="176"/>
      <x:c r="G12" s="176"/>
      <x:c r="H12" s="176"/>
      <x:c r="I12" s="176"/>
      <x:c r="J12" s="17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6" t="str">
        <x:v>2025 20-F / feedstock sourcing</x:v>
      </x:c>
      <x:c r="B13" s="171" t="str">
        <x:v>https://www.sec.gov/Archives/edgar/data/1071438/000129281426002427/bakform20f_2025.htm</x:v>
      </x:c>
      <x:c r="C13" s="176" t="str">
        <x:v>2023–2025 sourcing shares and Brazil ethylene production/capacity.</x:v>
      </x:c>
      <x:c r="D13" s="176"/>
      <x:c r="E13" s="176"/>
      <x:c r="F13" s="176"/>
      <x:c r="G13" s="176"/>
      <x:c r="H13" s="176"/>
      <x:c r="I13" s="176"/>
      <x:c r="J13" s="17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6" t="str">
        <x:v>2024 20-F</x:v>
      </x:c>
      <x:c r="B14" s="171" t="str">
        <x:v>https://www.sec.gov/Archives/edgar/data/1071438/000129281425001192/bakform20f_2024.htm</x:v>
      </x:c>
      <x:c r="C14" s="176" t="str">
        <x:v>Petrobras/naphtha sourcing discussion.</x:v>
      </x:c>
      <x:c r="D14" s="176"/>
      <x:c r="E14" s="176"/>
      <x:c r="F14" s="176"/>
      <x:c r="G14" s="176"/>
      <x:c r="H14" s="176"/>
      <x:c r="I14" s="176"/>
      <x:c r="J14" s="17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6" t="str">
        <x:v>Braskem 2025 Integrated Report</x:v>
      </x:c>
      <x:c r="B15" s="171" t="str">
        <x:v>https://www.latibex.com/docs/Documentos/esp/hechosrelev/2026/20260327_Braskem_RA_2025_ENG.pdf</x:v>
      </x:c>
      <x:c r="C15" s="176" t="str">
        <x:v>Operating/utilization context.</x:v>
      </x:c>
      <x:c r="D15" s="176"/>
      <x:c r="E15" s="176"/>
      <x:c r="F15" s="176"/>
      <x:c r="G15" s="176"/>
      <x:c r="H15" s="176"/>
      <x:c r="I15" s="176"/>
      <x:c r="J15" s="17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J1"/>
    <x:mergeCell ref="A7:J7"/>
    <x:mergeCell ref="A8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42" hidden="0" customWidth="1"/>
    <x:col min="9" max="9" width="20" hidden="0" customWidth="1"/>
  </x:cols>
  <x:sheetData>
    <x:row r="1" ht="26" customHeight="1">
      <x:c r="A1" s="182" t="str">
        <x:v>Braskem Trading &amp; Shipping — Dedicated Future LR1 Fleet</x:v>
      </x:c>
      <x:c r="B1" s="182"/>
      <x:c r="C1" s="182"/>
      <x:c r="D1" s="182"/>
      <x:c r="E1" s="182"/>
      <x:c r="F1" s="182"/>
      <x:c r="G1" s="182"/>
      <x:c r="H1" s="182"/>
      <x:c r="I1" s="182"/>
      <x:c r="J1" s="11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Vessel</x:v>
      </x:c>
      <x:c r="B2" s="12" t="str">
        <x:v>Status checked 28-Sep-2026</x:v>
      </x:c>
      <x:c r="C2" s="12" t="str">
        <x:v>Timing</x:v>
      </x:c>
      <x:c r="D2" s="12" t="str">
        <x:v>Route / Role</x:v>
      </x:c>
      <x:c r="E2" s="12" t="str">
        <x:v>Max Naphtha Capacity (m³)</x:v>
      </x:c>
      <x:c r="F2" s="12" t="str">
        <x:v>Typical Cargo (kt)</x:v>
      </x:c>
      <x:c r="G2" s="12" t="str">
        <x:v>Observed Brazil Cargo (kt)</x:v>
      </x:c>
      <x:c r="H2" s="12" t="str">
        <x:v>Source URL</x:v>
      </x:c>
      <x:c r="I2" s="12" t="str">
        <x:v>Monitor Flag</x:v>
      </x:c>
      <x:c r="J2" s="136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str">
        <x:v>BEAUTIFUL FUTURE</x:v>
      </x:c>
      <x:c r="B3" s="116" t="str">
        <x:v>Delivered / operating</x:v>
      </x:c>
      <x:c r="C3" s="116" t="str">
        <x:v>Delivered May 2026; Brazil arrival Aug 2026</x:v>
      </x:c>
      <x:c r="D3" s="116" t="str">
        <x:v>US Gulf Coast → Brazil naphtha</x:v>
      </x:c>
      <x:c r="E3" s="185" t="n">
        <x:v>89500</x:v>
      </x:c>
      <x:c r="F3" s="123" t="n">
        <x:v>57.5</x:v>
      </x:c>
      <x:c r="G3" s="123" t="n">
        <x:v>55.245144</x:v>
      </x:c>
      <x:c r="H3" s="171" t="str">
        <x:v>https://www.braskem.com/news-detail/arrival-of-the-beautiful-future-vessel-in-brazil-strengthens-braskem-trading-shippings-logistics-strategy</x:v>
      </x:c>
      <x:c r="I3" s="116" t="str">
        <x:v>Sep-26 Aratu berth; 28kt planned, pending completion</x:v>
      </x:c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str">
        <x:v>BLOOMING FUTURE</x:v>
      </x:c>
      <x:c r="B4" s="116" t="str">
        <x:v>Delivered / operating</x:v>
      </x:c>
      <x:c r="C4" s="116" t="str">
        <x:v>Operations launched Jun 18 2026</x:v>
      </x:c>
      <x:c r="D4" s="116" t="str">
        <x:v>US Gulf Coast → Brazil naphtha</x:v>
      </x:c>
      <x:c r="E4" s="185" t="n">
        <x:v>89500</x:v>
      </x:c>
      <x:c r="F4" s="123" t="n">
        <x:v>57.5</x:v>
      </x:c>
      <x:c r="G4" s="123"/>
      <x:c r="H4" s="171" t="str">
        <x:v>https://www.braskem.com/news-detail/arrival-of-the-beautiful-future-vessel-in-brazil-strengthens-braskem-trading-shippings-logistics-strategy</x:v>
      </x:c>
      <x:c r="I4" s="116" t="str">
        <x:v>Oct-3 Aratu ETB; 28kt planned, pending arrival</x:v>
      </x:c>
      <x:c r="J4" s="136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str">
        <x:v>BLISSFUL FUTURE</x:v>
      </x:c>
      <x:c r="B5" s="116" t="str">
        <x:v>Under construction / delivery pending</x:v>
      </x:c>
      <x:c r="C5" s="116" t="str">
        <x:v>Prior expected timing: later 2026; not reverified</x:v>
      </x:c>
      <x:c r="D5" s="116" t="str">
        <x:v>US Gulf Coast → Brazil naphtha</x:v>
      </x:c>
      <x:c r="E5" s="185" t="n">
        <x:v>89500</x:v>
      </x:c>
      <x:c r="F5" s="123" t="n">
        <x:v>57.5</x:v>
      </x:c>
      <x:c r="G5" s="123"/>
      <x:c r="H5" s="171" t="str">
        <x:v>https://www.braskem.com/news-detail/arrival-of-the-beautiful-future-vessel-in-brazil-strengthens-braskem-trading-shippings-logistics-strategy</x:v>
      </x:c>
      <x:c r="I5" s="116" t="str">
        <x:v>Near-forward</x:v>
      </x:c>
      <x:c r="J5" s="136"/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16" t="str">
        <x:v>BOLD FUTURE</x:v>
      </x:c>
      <x:c r="B6" s="116" t="str">
        <x:v>Under construction / delivery pending</x:v>
      </x:c>
      <x:c r="C6" s="116" t="str">
        <x:v>Prior expected timing: early 2027; not reverified</x:v>
      </x:c>
      <x:c r="D6" s="116" t="str">
        <x:v>US Gulf Coast → Brazil naphtha</x:v>
      </x:c>
      <x:c r="E6" s="185" t="n">
        <x:v>89500</x:v>
      </x:c>
      <x:c r="F6" s="123" t="n">
        <x:v>57.5</x:v>
      </x:c>
      <x:c r="G6" s="123"/>
      <x:c r="H6" s="171" t="str">
        <x:v>https://www.braskem.com/news-detail/arrival-of-the-beautiful-future-vessel-in-brazil-strengthens-braskem-trading-shippings-logistics-strategy</x:v>
      </x:c>
      <x:c r="I6" s="116" t="str">
        <x:v>Near-forward</x:v>
      </x:c>
      <x:c r="J6" s="13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76"/>
      <x:c r="B7" s="176"/>
      <x:c r="C7" s="176"/>
      <x:c r="D7" s="176"/>
      <x:c r="E7" s="176"/>
      <x:c r="F7" s="176"/>
      <x:c r="G7" s="176"/>
      <x:c r="H7" s="176"/>
      <x:c r="I7" s="176"/>
      <x:c r="J7" s="13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86" t="str">
        <x:v>Program-Level Disclosure</x:v>
      </x:c>
      <x:c r="B8" s="186"/>
      <x:c r="C8" s="186"/>
      <x:c r="D8" s="186"/>
      <x:c r="E8" s="186"/>
      <x:c r="F8" s="186"/>
      <x:c r="G8" s="186"/>
      <x:c r="H8" s="186"/>
      <x:c r="I8" s="186"/>
      <x:c r="J8" s="136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63" t="str">
        <x:v>Braskem says the completed four-vessel fleet can transport approximately 40%–50% of its naphtha import demand. The monitor does not assume those tonnes are incremental; it tests the hypothesis by tracking Future-fleet and third-party arrivals together.</x:v>
      </x:c>
      <x:c r="B9" s="163"/>
      <x:c r="C9" s="163"/>
      <x:c r="D9" s="163"/>
      <x:c r="E9" s="163"/>
      <x:c r="F9" s="163"/>
      <x:c r="G9" s="163"/>
      <x:c r="H9" s="163"/>
      <x:c r="I9" s="163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63"/>
      <x:c r="B10" s="163"/>
      <x:c r="C10" s="163"/>
      <x:c r="D10" s="163"/>
      <x:c r="E10" s="163"/>
      <x:c r="F10" s="163"/>
      <x:c r="G10" s="163"/>
      <x:c r="H10" s="163"/>
      <x:c r="I10" s="163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63"/>
      <x:c r="B11" s="163"/>
      <x:c r="C11" s="163"/>
      <x:c r="D11" s="163"/>
      <x:c r="E11" s="163"/>
      <x:c r="F11" s="163"/>
      <x:c r="G11" s="163"/>
      <x:c r="H11" s="163"/>
      <x:c r="I11" s="163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36"/>
      <x:c r="B12" s="136"/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36"/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36"/>
      <x:c r="B14" s="136"/>
      <x:c r="C14" s="136"/>
      <x:c r="D14" s="136"/>
      <x:c r="E14" s="136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36"/>
      <x:c r="B15" s="136"/>
      <x:c r="C15" s="136"/>
      <x:c r="D15" s="136"/>
      <x:c r="E15" s="13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36"/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36"/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36"/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36"/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36"/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36"/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136"/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36"/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36"/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36"/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36"/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136"/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36"/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36"/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36"/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36"/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136"/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36"/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36"/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36"/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36"/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/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>
      <x:c r="A43" s="136"/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>
      <x:c r="A44" s="136"/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I1"/>
    <x:mergeCell ref="A8:I8"/>
    <x:mergeCell ref="A9:I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8" hidden="0" customWidth="1"/>
    <x:col min="4" max="4" width="54" hidden="0" customWidth="1"/>
    <x:col min="5" max="5" width="22" hidden="0" customWidth="1"/>
  </x:cols>
  <x:sheetData>
    <x:row r="1" ht="26" customHeight="1">
      <x:c r="A1" s="182" t="str">
        <x:v>Data Sources, Evidence Rules &amp; Update Procedure</x:v>
      </x:c>
      <x:c r="B1" s="182"/>
      <x:c r="C1" s="182"/>
      <x:c r="D1" s="182"/>
      <x:c r="E1" s="18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112"/>
      <x:c r="Q1" s="112"/>
      <x:c r="R1" s="112"/>
      <x:c r="S1" s="112"/>
      <x:c r="T1" s="112"/>
      <x:c r="U1" s="112"/>
      <x:c r="V1" s="112"/>
      <x:c r="W1" s="112"/>
      <x:c r="X1" s="112"/>
      <x:c r="Y1" s="112"/>
      <x:c r="Z1" s="112"/>
    </x:row>
    <x:row r="2">
      <x:c r="A2" s="12" t="str">
        <x:v>Priority</x:v>
      </x:c>
      <x:c r="B2" s="12" t="str">
        <x:v>Source</x:v>
      </x:c>
      <x:c r="C2" s="12" t="str">
        <x:v>Use</x:v>
      </x:c>
      <x:c r="D2" s="12" t="str">
        <x:v>URL</x:v>
      </x:c>
      <x:c r="E2" s="12" t="str">
        <x:v>Update Cadence</x:v>
      </x:c>
      <x:c r="F2" s="136"/>
      <x:c r="G2" s="136"/>
      <x:c r="H2" s="136"/>
      <x:c r="I2" s="136"/>
      <x:c r="J2" s="136"/>
      <x:c r="K2" s="136"/>
      <x:c r="L2" s="136"/>
      <x:c r="M2" s="136"/>
      <x:c r="N2" s="136"/>
      <x:c r="O2" s="136"/>
      <x:c r="P2" s="136"/>
      <x:c r="Q2" s="136"/>
      <x:c r="R2" s="136"/>
      <x:c r="S2" s="136"/>
      <x:c r="T2" s="136"/>
      <x:c r="U2" s="136"/>
      <x:c r="V2" s="136"/>
      <x:c r="W2" s="136"/>
      <x:c r="X2" s="136"/>
      <x:c r="Y2" s="136"/>
      <x:c r="Z2" s="136"/>
    </x:row>
    <x:row r="3">
      <x:c r="A3" s="116" t="n">
        <x:v>1</x:v>
      </x:c>
      <x:c r="B3" s="116" t="str">
        <x:v>CODEBA — Porto de Aratu vessel schedule</x:v>
      </x:c>
      <x:c r="C3" s="116" t="str">
        <x:v>Current/forward vessel, cargo, quantity, operator, ETA/ETB/ETD</x:v>
      </x:c>
      <x:c r="D3" s="171" t="str">
        <x:v>https://codeba.gov.br/eficiente/sites/portalcodeba/pt-br/porto_aratu.php?secao=tportos_aratu</x:v>
      </x:c>
      <x:c r="E3" s="116" t="str">
        <x:v>Daily / near real time</x:v>
      </x:c>
      <x:c r="F3" s="136"/>
      <x:c r="G3" s="136"/>
      <x:c r="H3" s="136"/>
      <x:c r="I3" s="136"/>
      <x:c r="J3" s="136"/>
      <x:c r="K3" s="136"/>
      <x:c r="L3" s="136"/>
      <x:c r="M3" s="136"/>
      <x:c r="N3" s="136"/>
      <x:c r="O3" s="136"/>
      <x:c r="P3" s="136"/>
      <x:c r="Q3" s="136"/>
      <x:c r="R3" s="136"/>
      <x:c r="S3" s="136"/>
      <x:c r="T3" s="136"/>
      <x:c r="U3" s="136"/>
      <x:c r="V3" s="136"/>
      <x:c r="W3" s="136"/>
      <x:c r="X3" s="136"/>
      <x:c r="Y3" s="136"/>
      <x:c r="Z3" s="136"/>
    </x:row>
    <x:row r="4">
      <x:c r="A4" s="116" t="n">
        <x:v>2</x:v>
      </x:c>
      <x:c r="B4" s="116" t="str">
        <x:v>Braskem — ANP Res. 881 terminal disclosure</x:v>
      </x:c>
      <x:c r="C4" s="116" t="str">
        <x:v>Triunfo/Santa Clara, Rio Grande and Rio terminal historical movements / vessel schedules</x:v>
      </x:c>
      <x:c r="D4" s="171" t="str">
        <x:v>https://www.braskem.com.br/resolucao-anp-881</x:v>
      </x:c>
      <x:c r="E4" s="116" t="str">
        <x:v>Monthly / terminal-specific</x:v>
      </x:c>
      <x:c r="F4" s="136"/>
      <x:c r="G4" s="136"/>
      <x:c r="H4" s="136"/>
      <x:c r="I4" s="136"/>
      <x:c r="J4" s="136"/>
      <x:c r="K4" s="136"/>
      <x:c r="L4" s="136"/>
      <x:c r="M4" s="136"/>
      <x:c r="N4" s="136"/>
      <x:c r="O4" s="136"/>
      <x:c r="P4" s="136"/>
      <x:c r="Q4" s="136"/>
      <x:c r="R4" s="136"/>
      <x:c r="S4" s="136"/>
      <x:c r="T4" s="136"/>
      <x:c r="U4" s="136"/>
      <x:c r="V4" s="136"/>
      <x:c r="W4" s="136"/>
      <x:c r="X4" s="136"/>
      <x:c r="Y4" s="136"/>
      <x:c r="Z4" s="136"/>
    </x:row>
    <x:row r="5">
      <x:c r="A5" s="116" t="n">
        <x:v>3</x:v>
      </x:c>
      <x:c r="B5" s="116" t="str">
        <x:v>Transpetro — ANP terminal disclosures</x:v>
      </x:c>
      <x:c r="C5" s="116" t="str">
        <x:v>Osório / Tramandaí and Rio Grande monthly histories and berth/vessel records</x:v>
      </x:c>
      <x:c r="D5" s="171" t="str">
        <x:v>https://transpetro.com.br/transpetro-institucional/negocios/informacoes-legais/informacoes-em-atendimento-a-anp/dutos-e-terminais.htm</x:v>
      </x:c>
      <x:c r="E5" s="116" t="str">
        <x:v>Monthly / terminal-specific</x:v>
      </x:c>
      <x:c r="F5" s="136"/>
      <x:c r="G5" s="136"/>
      <x:c r="H5" s="136"/>
      <x:c r="I5" s="136"/>
      <x:c r="J5" s="136"/>
      <x:c r="K5" s="136"/>
      <x:c r="L5" s="136"/>
      <x:c r="M5" s="136"/>
      <x:c r="N5" s="136"/>
      <x:c r="O5" s="136"/>
      <x:c r="P5" s="136"/>
      <x:c r="Q5" s="136"/>
      <x:c r="R5" s="136"/>
      <x:c r="S5" s="136"/>
      <x:c r="T5" s="136"/>
      <x:c r="U5" s="136"/>
      <x:c r="V5" s="136"/>
      <x:c r="W5" s="136"/>
      <x:c r="X5" s="136"/>
      <x:c r="Y5" s="136"/>
      <x:c r="Z5" s="136"/>
    </x:row>
    <x:row r="6">
      <x:c r="A6" s="116" t="n">
        <x:v>4</x:v>
      </x:c>
      <x:c r="B6" s="116" t="str">
        <x:v>ANP — Aquaviary terminal movements open data</x:v>
      </x:c>
      <x:c r="C6" s="116" t="str">
        <x:v>Official monthly terminal movements; historical volume backbone</x:v>
      </x:c>
      <x:c r="D6" s="171" t="str">
        <x:v>https://www.gov.br/anp/pt-br/centrais-de-conteudo/dados-abertos/movimentacao-dos-terminais-aquaviarios</x:v>
      </x:c>
      <x:c r="E6" s="116" t="str">
        <x:v>Monthly</x:v>
      </x:c>
      <x:c r="F6" s="136"/>
      <x:c r="G6" s="136"/>
      <x:c r="H6" s="136"/>
      <x:c r="I6" s="136"/>
      <x:c r="J6" s="136"/>
      <x:c r="K6" s="136"/>
      <x:c r="L6" s="136"/>
      <x:c r="M6" s="136"/>
      <x:c r="N6" s="136"/>
      <x:c r="O6" s="136"/>
      <x:c r="P6" s="136"/>
      <x:c r="Q6" s="136"/>
      <x:c r="R6" s="136"/>
      <x:c r="S6" s="136"/>
      <x:c r="T6" s="136"/>
      <x:c r="U6" s="136"/>
      <x:c r="V6" s="136"/>
      <x:c r="W6" s="136"/>
      <x:c r="X6" s="136"/>
      <x:c r="Y6" s="136"/>
      <x:c r="Z6" s="136"/>
    </x:row>
    <x:row r="7">
      <x:c r="A7" s="116" t="n">
        <x:v>5</x:v>
      </x:c>
      <x:c r="B7" s="116" t="str">
        <x:v>S&amp;P/Platts public Marketscan excerpts</x:v>
      </x:c>
      <x:c r="C7" s="116" t="str">
        <x:v>Historical USGC→Brazil Braskem fixture discovery</x:v>
      </x:c>
      <x:c r="D7" s="171" t="str">
        <x:v>https://www.petropexint.com/</x:v>
      </x:c>
      <x:c r="E7" s="116" t="str">
        <x:v>Sampled historical evidence</x:v>
      </x:c>
      <x:c r="F7" s="136"/>
      <x:c r="G7" s="136"/>
      <x:c r="H7" s="136"/>
      <x:c r="I7" s="136"/>
      <x:c r="J7" s="136"/>
      <x:c r="K7" s="136"/>
      <x:c r="L7" s="136"/>
      <x:c r="M7" s="136"/>
      <x:c r="N7" s="136"/>
      <x:c r="O7" s="136"/>
      <x:c r="P7" s="136"/>
      <x:c r="Q7" s="136"/>
      <x:c r="R7" s="136"/>
      <x:c r="S7" s="136"/>
      <x:c r="T7" s="136"/>
      <x:c r="U7" s="136"/>
      <x:c r="V7" s="136"/>
      <x:c r="W7" s="136"/>
      <x:c r="X7" s="136"/>
      <x:c r="Y7" s="136"/>
      <x:c r="Z7" s="136"/>
    </x:row>
    <x:row r="8">
      <x:c r="A8" s="116" t="n">
        <x:v>6</x:v>
      </x:c>
      <x:c r="B8" s="116" t="str">
        <x:v>Braskem filings</x:v>
      </x:c>
      <x:c r="C8" s="116" t="str">
        <x:v>Feedstock sourcing, production, utilization and narrative constraints</x:v>
      </x:c>
      <x:c r="D8" s="171" t="str">
        <x:v>https://www.sec.gov/edgar/browse/?CIK=1071438&amp;owner=exclude</x:v>
      </x:c>
      <x:c r="E8" s="116" t="str">
        <x:v>Quarterly / annual</x:v>
      </x:c>
      <x:c r="F8" s="136"/>
      <x:c r="G8" s="136"/>
      <x:c r="H8" s="136"/>
      <x:c r="I8" s="136"/>
      <x:c r="J8" s="136"/>
      <x:c r="K8" s="136"/>
      <x:c r="L8" s="136"/>
      <x:c r="M8" s="136"/>
      <x:c r="N8" s="136"/>
      <x:c r="O8" s="136"/>
      <x:c r="P8" s="136"/>
      <x:c r="Q8" s="136"/>
      <x:c r="R8" s="136"/>
      <x:c r="S8" s="136"/>
      <x:c r="T8" s="136"/>
      <x:c r="U8" s="136"/>
      <x:c r="V8" s="136"/>
      <x:c r="W8" s="136"/>
      <x:c r="X8" s="136"/>
      <x:c r="Y8" s="136"/>
      <x:c r="Z8" s="136"/>
    </x:row>
    <x:row r="9">
      <x:c r="A9" s="176"/>
      <x:c r="B9" s="176"/>
      <x:c r="C9" s="176"/>
      <x:c r="D9" s="176"/>
      <x:c r="E9" s="176"/>
      <x:c r="F9" s="136"/>
      <x:c r="G9" s="136"/>
      <x:c r="H9" s="136"/>
      <x:c r="I9" s="136"/>
      <x:c r="J9" s="136"/>
      <x:c r="K9" s="136"/>
      <x:c r="L9" s="136"/>
      <x:c r="M9" s="136"/>
      <x:c r="N9" s="136"/>
      <x:c r="O9" s="136"/>
      <x:c r="P9" s="136"/>
      <x:c r="Q9" s="136"/>
      <x:c r="R9" s="136"/>
      <x:c r="S9" s="136"/>
      <x:c r="T9" s="136"/>
      <x:c r="U9" s="136"/>
      <x:c r="V9" s="136"/>
      <x:c r="W9" s="136"/>
      <x:c r="X9" s="136"/>
      <x:c r="Y9" s="136"/>
      <x:c r="Z9" s="136"/>
    </x:row>
    <x:row r="10">
      <x:c r="A10" s="186" t="str">
        <x:v>Evidence Tiers</x:v>
      </x:c>
      <x:c r="B10" s="186"/>
      <x:c r="C10" s="186"/>
      <x:c r="D10" s="186"/>
      <x:c r="E10" s="186"/>
      <x:c r="F10" s="136"/>
      <x:c r="G10" s="136"/>
      <x:c r="H10" s="136"/>
      <x:c r="I10" s="136"/>
      <x:c r="J10" s="136"/>
      <x:c r="K10" s="136"/>
      <x:c r="L10" s="136"/>
      <x:c r="M10" s="136"/>
      <x:c r="N10" s="136"/>
      <x:c r="O10" s="136"/>
      <x:c r="P10" s="136"/>
      <x:c r="Q10" s="136"/>
      <x:c r="R10" s="136"/>
      <x:c r="S10" s="136"/>
      <x:c r="T10" s="136"/>
      <x:c r="U10" s="136"/>
      <x:c r="V10" s="136"/>
      <x:c r="W10" s="136"/>
      <x:c r="X10" s="136"/>
      <x:c r="Y10" s="136"/>
      <x:c r="Z10" s="136"/>
    </x:row>
    <x:row r="11">
      <x:c r="A11" s="176" t="str">
        <x:v>Tier 1</x:v>
      </x:c>
      <x:c r="B11" s="176" t="str">
        <x:v>Port/terminal record + naphtha + Braskem operator</x:v>
      </x:c>
      <x:c r="C11" s="176" t="str">
        <x:v>Use in completed tonnage totals</x:v>
      </x:c>
      <x:c r="D11" s="176" t="str"/>
      <x:c r="E11" s="176" t="str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6"/>
      <x:c r="Q11" s="136"/>
      <x:c r="R11" s="136"/>
      <x:c r="S11" s="136"/>
      <x:c r="T11" s="136"/>
      <x:c r="U11" s="136"/>
      <x:c r="V11" s="136"/>
      <x:c r="W11" s="136"/>
      <x:c r="X11" s="136"/>
      <x:c r="Y11" s="136"/>
      <x:c r="Z11" s="136"/>
    </x:row>
    <x:row r="12">
      <x:c r="A12" s="176" t="str">
        <x:v>Tier 1 forward</x:v>
      </x:c>
      <x:c r="B12" s="176" t="str">
        <x:v>Port schedule + naphtha + Braskem operator, not completed</x:v>
      </x:c>
      <x:c r="C12" s="176" t="str">
        <x:v>Track separately until discharge</x:v>
      </x:c>
      <x:c r="D12" s="176" t="str"/>
      <x:c r="E12" s="176" t="str"/>
      <x:c r="F12" s="136"/>
      <x:c r="G12" s="136"/>
      <x:c r="H12" s="136"/>
      <x:c r="I12" s="136"/>
      <x:c r="J12" s="136"/>
      <x:c r="K12" s="136"/>
      <x:c r="L12" s="136"/>
      <x:c r="M12" s="136"/>
      <x:c r="N12" s="136"/>
      <x:c r="O12" s="136"/>
      <x:c r="P12" s="136"/>
      <x:c r="Q12" s="136"/>
      <x:c r="R12" s="136"/>
      <x:c r="S12" s="136"/>
      <x:c r="T12" s="136"/>
      <x:c r="U12" s="136"/>
      <x:c r="V12" s="136"/>
      <x:c r="W12" s="136"/>
      <x:c r="X12" s="136"/>
      <x:c r="Y12" s="136"/>
      <x:c r="Z12" s="136"/>
    </x:row>
    <x:row r="13">
      <x:c r="A13" s="176" t="str">
        <x:v>Tier 2</x:v>
      </x:c>
      <x:c r="B13" s="176" t="str">
        <x:v>Port schedule says naphtha but operator TBN/unconfirmed</x:v>
      </x:c>
      <x:c r="C13" s="176" t="str">
        <x:v>Provisional forward only</x:v>
      </x:c>
      <x:c r="D13" s="176" t="str"/>
      <x:c r="E13" s="176" t="str"/>
      <x:c r="F13" s="136"/>
      <x:c r="G13" s="136"/>
      <x:c r="H13" s="136"/>
      <x:c r="I13" s="136"/>
      <x:c r="J13" s="136"/>
      <x:c r="K13" s="136"/>
      <x:c r="L13" s="136"/>
      <x:c r="M13" s="136"/>
      <x:c r="N13" s="136"/>
      <x:c r="O13" s="136"/>
      <x:c r="P13" s="136"/>
      <x:c r="Q13" s="136"/>
      <x:c r="R13" s="136"/>
      <x:c r="S13" s="136"/>
      <x:c r="T13" s="136"/>
      <x:c r="U13" s="136"/>
      <x:c r="V13" s="136"/>
      <x:c r="W13" s="136"/>
      <x:c r="X13" s="136"/>
      <x:c r="Y13" s="136"/>
      <x:c r="Z13" s="136"/>
    </x:row>
    <x:row r="14">
      <x:c r="A14" s="176" t="str">
        <x:v>Tier 3</x:v>
      </x:c>
      <x:c r="B14" s="176" t="str">
        <x:v>Fixture/AIS evidence only</x:v>
      </x:c>
      <x:c r="C14" s="176" t="str">
        <x:v>Discovery evidence; not completed delivery without confirmation</x:v>
      </x:c>
      <x:c r="D14" s="176" t="str"/>
      <x:c r="E14" s="176" t="str"/>
      <x:c r="F14" s="136"/>
      <x:c r="G14" s="136"/>
      <x:c r="H14" s="136"/>
      <x:c r="I14" s="136"/>
      <x:c r="J14" s="136"/>
      <x:c r="K14" s="136"/>
      <x:c r="L14" s="136"/>
      <x:c r="M14" s="136"/>
      <x:c r="N14" s="136"/>
      <x:c r="O14" s="136"/>
      <x:c r="P14" s="136"/>
      <x:c r="Q14" s="136"/>
      <x:c r="R14" s="136"/>
      <x:c r="S14" s="136"/>
      <x:c r="T14" s="136"/>
      <x:c r="U14" s="136"/>
      <x:c r="V14" s="136"/>
      <x:c r="W14" s="136"/>
      <x:c r="X14" s="136"/>
      <x:c r="Y14" s="136"/>
      <x:c r="Z14" s="136"/>
    </x:row>
    <x:row r="15">
      <x:c r="A15" s="176"/>
      <x:c r="B15" s="176"/>
      <x:c r="C15" s="176"/>
      <x:c r="D15" s="176"/>
      <x:c r="E15" s="176"/>
      <x:c r="F15" s="136"/>
      <x:c r="G15" s="136"/>
      <x:c r="H15" s="136"/>
      <x:c r="I15" s="136"/>
      <x:c r="J15" s="136"/>
      <x:c r="K15" s="136"/>
      <x:c r="L15" s="136"/>
      <x:c r="M15" s="136"/>
      <x:c r="N15" s="136"/>
      <x:c r="O15" s="136"/>
      <x:c r="P15" s="136"/>
      <x:c r="Q15" s="136"/>
      <x:c r="R15" s="136"/>
      <x:c r="S15" s="136"/>
      <x:c r="T15" s="136"/>
      <x:c r="U15" s="136"/>
      <x:c r="V15" s="136"/>
      <x:c r="W15" s="136"/>
      <x:c r="X15" s="136"/>
      <x:c r="Y15" s="136"/>
      <x:c r="Z15" s="136"/>
    </x:row>
    <x:row r="16">
      <x:c r="A16" s="186" t="str">
        <x:v>Weekly Update Procedure</x:v>
      </x:c>
      <x:c r="B16" s="186"/>
      <x:c r="C16" s="186"/>
      <x:c r="D16" s="186"/>
      <x:c r="E16" s="186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  <x:c r="Q16" s="136"/>
      <x:c r="R16" s="136"/>
      <x:c r="S16" s="136"/>
      <x:c r="T16" s="136"/>
      <x:c r="U16" s="136"/>
      <x:c r="V16" s="136"/>
      <x:c r="W16" s="136"/>
      <x:c r="X16" s="136"/>
      <x:c r="Y16" s="136"/>
      <x:c r="Z16" s="136"/>
    </x:row>
    <x:row r="17">
      <x:c r="A17" s="176" t="str">
        <x:v>1</x:v>
      </x:c>
      <x:c r="B17" s="176" t="str">
        <x:v>Pull CODEBA Aratu schedule; add new NAFTHA rows to Arrivals.</x:v>
      </x:c>
      <x:c r="C17" s="176" t="str"/>
      <x:c r="D17" s="176" t="str"/>
      <x:c r="E17" s="176" t="str"/>
      <x:c r="F17" s="136"/>
      <x:c r="G17" s="136"/>
      <x:c r="H17" s="136"/>
      <x:c r="I17" s="136"/>
      <x:c r="J17" s="136"/>
      <x:c r="K17" s="136"/>
      <x:c r="L17" s="136"/>
      <x:c r="M17" s="136"/>
      <x:c r="N17" s="136"/>
      <x:c r="O17" s="136"/>
      <x:c r="P17" s="136"/>
      <x:c r="Q17" s="136"/>
      <x:c r="R17" s="136"/>
      <x:c r="S17" s="136"/>
      <x:c r="T17" s="136"/>
      <x:c r="U17" s="136"/>
      <x:c r="V17" s="136"/>
      <x:c r="W17" s="136"/>
      <x:c r="X17" s="136"/>
      <x:c r="Y17" s="136"/>
      <x:c r="Z17" s="136"/>
    </x:row>
    <x:row r="18">
      <x:c r="A18" s="176" t="str">
        <x:v>2</x:v>
      </x:c>
      <x:c r="B18" s="176" t="str">
        <x:v>Classify Future LR1 vs third-party; verify operator Braskem.</x:v>
      </x:c>
      <x:c r="C18" s="176" t="str"/>
      <x:c r="D18" s="176" t="str"/>
      <x:c r="E18" s="176" t="str"/>
      <x:c r="F18" s="136"/>
      <x:c r="G18" s="136"/>
      <x:c r="H18" s="136"/>
      <x:c r="I18" s="136"/>
      <x:c r="J18" s="136"/>
      <x:c r="K18" s="136"/>
      <x:c r="L18" s="136"/>
      <x:c r="M18" s="136"/>
      <x:c r="N18" s="136"/>
      <x:c r="O18" s="136"/>
      <x:c r="P18" s="136"/>
      <x:c r="Q18" s="136"/>
      <x:c r="R18" s="136"/>
      <x:c r="S18" s="136"/>
      <x:c r="T18" s="136"/>
      <x:c r="U18" s="136"/>
      <x:c r="V18" s="136"/>
      <x:c r="W18" s="136"/>
      <x:c r="X18" s="136"/>
      <x:c r="Y18" s="136"/>
      <x:c r="Z18" s="136"/>
    </x:row>
    <x:row r="19">
      <x:c r="A19" s="176" t="str">
        <x:v>3</x:v>
      </x:c>
      <x:c r="B19" s="176" t="str">
        <x:v>Check Braskem/Transpetro ANP-881 pages for Osório/Rio Grande / Santa Clara movements.</x:v>
      </x:c>
      <x:c r="C19" s="176" t="str"/>
      <x:c r="D19" s="176" t="str"/>
      <x:c r="E19" s="176" t="str"/>
      <x:c r="F19" s="136"/>
      <x:c r="G19" s="136"/>
      <x:c r="H19" s="136"/>
      <x:c r="I19" s="136"/>
      <x:c r="J19" s="136"/>
      <x:c r="K19" s="136"/>
      <x:c r="L19" s="136"/>
      <x:c r="M19" s="136"/>
      <x:c r="N19" s="136"/>
      <x:c r="O19" s="136"/>
      <x:c r="P19" s="136"/>
      <x:c r="Q19" s="136"/>
      <x:c r="R19" s="136"/>
      <x:c r="S19" s="136"/>
      <x:c r="T19" s="136"/>
      <x:c r="U19" s="136"/>
      <x:c r="V19" s="136"/>
      <x:c r="W19" s="136"/>
      <x:c r="X19" s="136"/>
      <x:c r="Y19" s="136"/>
      <x:c r="Z19" s="136"/>
    </x:row>
    <x:row r="20">
      <x:c r="A20" s="176" t="str">
        <x:v>4</x:v>
      </x:c>
      <x:c r="B20" s="176" t="str">
        <x:v>Update ANP monthly terminal-volume backfill when released.</x:v>
      </x:c>
      <x:c r="C20" s="176" t="str"/>
      <x:c r="D20" s="176" t="str"/>
      <x:c r="E20" s="176" t="str"/>
      <x:c r="F20" s="136"/>
      <x:c r="G20" s="136"/>
      <x:c r="H20" s="136"/>
      <x:c r="I20" s="136"/>
      <x:c r="J20" s="136"/>
      <x:c r="K20" s="136"/>
      <x:c r="L20" s="136"/>
      <x:c r="M20" s="136"/>
      <x:c r="N20" s="136"/>
      <x:c r="O20" s="136"/>
      <x:c r="P20" s="136"/>
      <x:c r="Q20" s="136"/>
      <x:c r="R20" s="136"/>
      <x:c r="S20" s="136"/>
      <x:c r="T20" s="136"/>
      <x:c r="U20" s="136"/>
      <x:c r="V20" s="136"/>
      <x:c r="W20" s="136"/>
      <x:c r="X20" s="136"/>
      <x:c r="Y20" s="136"/>
      <x:c r="Z20" s="136"/>
    </x:row>
    <x:row r="21">
      <x:c r="A21" s="176" t="str">
        <x:v>5</x:v>
      </x:c>
      <x:c r="B21" s="176" t="str">
        <x:v>Compare Future tonnes vs third-party tonnes; do not infer additive supply from Future arrivals alone.</x:v>
      </x:c>
      <x:c r="C21" s="176" t="str"/>
      <x:c r="D21" s="176" t="str"/>
      <x:c r="E21" s="176" t="str"/>
      <x:c r="F21" s="136"/>
      <x:c r="G21" s="136"/>
      <x:c r="H21" s="136"/>
      <x:c r="I21" s="136"/>
      <x:c r="J21" s="136"/>
      <x:c r="K21" s="136"/>
      <x:c r="L21" s="136"/>
      <x:c r="M21" s="136"/>
      <x:c r="N21" s="136"/>
      <x:c r="O21" s="136"/>
      <x:c r="P21" s="136"/>
      <x:c r="Q21" s="136"/>
      <x:c r="R21" s="136"/>
      <x:c r="S21" s="136"/>
      <x:c r="T21" s="136"/>
      <x:c r="U21" s="136"/>
      <x:c r="V21" s="136"/>
      <x:c r="W21" s="136"/>
      <x:c r="X21" s="136"/>
      <x:c r="Y21" s="136"/>
      <x:c r="Z21" s="136"/>
    </x:row>
    <x:row r="22">
      <x:c r="A22" s="176" t="str">
        <x:v>6</x:v>
      </x:c>
      <x:c r="B22" s="176" t="str">
        <x:v>At quarter-end reconcile to Braskem ethylene production/utilization and sourcing.</x:v>
      </x:c>
      <x:c r="C22" s="176" t="str"/>
      <x:c r="D22" s="176" t="str"/>
      <x:c r="E22" s="176" t="str"/>
      <x:c r="F22" s="136"/>
      <x:c r="G22" s="136"/>
      <x:c r="H22" s="136"/>
      <x:c r="I22" s="136"/>
      <x:c r="J22" s="136"/>
      <x:c r="K22" s="136"/>
      <x:c r="L22" s="136"/>
      <x:c r="M22" s="136"/>
      <x:c r="N22" s="136"/>
      <x:c r="O22" s="136"/>
      <x:c r="P22" s="136"/>
      <x:c r="Q22" s="136"/>
      <x:c r="R22" s="136"/>
      <x:c r="S22" s="136"/>
      <x:c r="T22" s="136"/>
      <x:c r="U22" s="136"/>
      <x:c r="V22" s="136"/>
      <x:c r="W22" s="136"/>
      <x:c r="X22" s="136"/>
      <x:c r="Y22" s="136"/>
      <x:c r="Z22" s="136"/>
    </x:row>
    <x:row r="23">
      <x:c r="A23" s="136"/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  <x:c r="N23" s="136"/>
      <x:c r="O23" s="136"/>
      <x:c r="P23" s="136"/>
      <x:c r="Q23" s="136"/>
      <x:c r="R23" s="136"/>
      <x:c r="S23" s="136"/>
      <x:c r="T23" s="136"/>
      <x:c r="U23" s="136"/>
      <x:c r="V23" s="136"/>
      <x:c r="W23" s="136"/>
      <x:c r="X23" s="136"/>
      <x:c r="Y23" s="136"/>
      <x:c r="Z23" s="136"/>
    </x:row>
    <x:row r="24">
      <x:c r="A24" s="220" t="str">
        <x:v>2026 Backfill Sources</x:v>
      </x:c>
      <x:c r="B24" s="220" t="str"/>
      <x:c r="C24" s="220" t="str"/>
      <x:c r="D24" s="220" t="str"/>
      <x:c r="E24" s="220" t="str"/>
      <x:c r="F24" s="136"/>
      <x:c r="G24" s="136"/>
      <x:c r="H24" s="136"/>
      <x:c r="I24" s="136"/>
      <x:c r="J24" s="136"/>
      <x:c r="K24" s="136"/>
      <x:c r="L24" s="136"/>
      <x:c r="M24" s="136"/>
      <x:c r="N24" s="136"/>
      <x:c r="O24" s="136"/>
      <x:c r="P24" s="136"/>
      <x:c r="Q24" s="136"/>
      <x:c r="R24" s="136"/>
      <x:c r="S24" s="136"/>
      <x:c r="T24" s="136"/>
      <x:c r="U24" s="136"/>
      <x:c r="V24" s="136"/>
      <x:c r="W24" s="136"/>
      <x:c r="X24" s="136"/>
      <x:c r="Y24" s="136"/>
      <x:c r="Z24" s="136"/>
    </x:row>
    <x:row r="25">
      <x:c r="A25" s="116" t="n">
        <x:v>7</x:v>
      </x:c>
      <x:c r="B25" s="116" t="str">
        <x:v>CODEBA H1 2026 official release</x:v>
      </x:c>
      <x:c r="C25" s="116" t="str">
        <x:v>Aratu H1 3.70Mt; imports +12.99%; June 692.2kt</x:v>
      </x:c>
      <x:c r="D25" s="171" t="str">
        <x:v>https://codeba.gov.br/eficiente/sites/portalcodeba/pt-br/site.php?pub=10534&amp;secao=noticias_gerais</x:v>
      </x:c>
      <x:c r="E25" s="116" t="str">
        <x:v>H1 / monthly context</x:v>
      </x:c>
      <x:c r="F25" s="136"/>
      <x:c r="G25" s="136"/>
      <x:c r="H25" s="136"/>
      <x:c r="I25" s="136"/>
      <x:c r="J25" s="136"/>
      <x:c r="K25" s="136"/>
      <x:c r="L25" s="136"/>
      <x:c r="M25" s="136"/>
      <x:c r="N25" s="136"/>
      <x:c r="O25" s="136"/>
      <x:c r="P25" s="136"/>
      <x:c r="Q25" s="136"/>
      <x:c r="R25" s="136"/>
      <x:c r="S25" s="136"/>
      <x:c r="T25" s="136"/>
      <x:c r="U25" s="136"/>
      <x:c r="V25" s="136"/>
      <x:c r="W25" s="136"/>
      <x:c r="X25" s="136"/>
      <x:c r="Y25" s="136"/>
      <x:c r="Z25" s="136"/>
    </x:row>
    <x:row r="26">
      <x:c r="A26" s="116" t="n">
        <x:v>8</x:v>
      </x:c>
      <x:c r="B26" s="116" t="str">
        <x:v>CODEBA / Ministry Feb-26 release</x:v>
      </x:c>
      <x:c r="C26" s="116" t="str">
        <x:v>Aratu Feb-26 total cargo 555kt</x:v>
      </x:c>
      <x:c r="D26" s="171" t="str">
        <x:v>https://www.codeba.gov.br/eficiente/sites/portalcodeba/pt-br/site.php?pub=10382&amp;secao=noticias_gerais</x:v>
      </x:c>
      <x:c r="E26" s="116" t="str">
        <x:v>Historical context</x:v>
      </x:c>
      <x:c r="F26" s="136"/>
      <x:c r="G26" s="136"/>
      <x:c r="H26" s="136"/>
      <x:c r="I26" s="136"/>
      <x:c r="J26" s="136"/>
      <x:c r="K26" s="136"/>
      <x:c r="L26" s="136"/>
      <x:c r="M26" s="136"/>
      <x:c r="N26" s="136"/>
      <x:c r="O26" s="136"/>
      <x:c r="P26" s="136"/>
      <x:c r="Q26" s="136"/>
      <x:c r="R26" s="136"/>
      <x:c r="S26" s="136"/>
      <x:c r="T26" s="136"/>
      <x:c r="U26" s="136"/>
      <x:c r="V26" s="136"/>
      <x:c r="W26" s="136"/>
      <x:c r="X26" s="136"/>
      <x:c r="Y26" s="136"/>
      <x:c r="Z26" s="136"/>
    </x:row>
    <x:row r="27">
      <x:c r="A27" s="116" t="n">
        <x:v>9</x:v>
      </x:c>
      <x:c r="B27" s="116" t="str">
        <x:v>ABTRA / CODEBA-linked Mar-26 reporting</x:v>
      </x:c>
      <x:c r="C27" s="116" t="str">
        <x:v>Aratu Mar-26 total cargo 681.65kt</x:v>
      </x:c>
      <x:c r="D27" s="171" t="str">
        <x:v>https://www.abtra.org.br/noticias/portos-da-bahia-ampliam-movimentacao-em-quase-28-em-marco/</x:v>
      </x:c>
      <x:c r="E27" s="116" t="str">
        <x:v>Historical context</x:v>
      </x:c>
      <x:c r="F27" s="136"/>
      <x:c r="G27" s="136"/>
      <x:c r="H27" s="136"/>
      <x:c r="I27" s="136"/>
      <x:c r="J27" s="136"/>
      <x:c r="K27" s="136"/>
      <x:c r="L27" s="136"/>
      <x:c r="M27" s="136"/>
      <x:c r="N27" s="136"/>
      <x:c r="O27" s="136"/>
      <x:c r="P27" s="136"/>
      <x:c r="Q27" s="136"/>
      <x:c r="R27" s="136"/>
      <x:c r="S27" s="136"/>
      <x:c r="T27" s="136"/>
      <x:c r="U27" s="136"/>
      <x:c r="V27" s="136"/>
      <x:c r="W27" s="136"/>
      <x:c r="X27" s="136"/>
      <x:c r="Y27" s="136"/>
      <x:c r="Z27" s="136"/>
    </x:row>
    <x:row r="28">
      <x:c r="A28" s="116" t="n">
        <x:v>10</x:v>
      </x:c>
      <x:c r="B28" s="116" t="str">
        <x:v>Jornal Grande Bahia using CODEBA statistics</x:v>
      </x:c>
      <x:c r="C28" s="116" t="str">
        <x:v>Aratu Jan–May 2026 cumulative total cargo 3,008.443kt</x:v>
      </x:c>
      <x:c r="D28" s="171" t="str">
        <x:v>https://jornalgrandebahia.com.br/2026/08/porto-de-aratu-abre-nova-rota-de-graos-no-atu-18-operacao-iniciada-em-marco-de-2026-mira-3-milhoes-de-toneladas-em-2026/</x:v>
      </x:c>
      <x:c r="E28" s="116" t="str">
        <x:v>Historical context</x:v>
      </x:c>
      <x:c r="F28" s="136"/>
      <x:c r="G28" s="136"/>
      <x:c r="H28" s="136"/>
      <x:c r="I28" s="136"/>
      <x:c r="J28" s="136"/>
      <x:c r="K28" s="136"/>
      <x:c r="L28" s="136"/>
      <x:c r="M28" s="136"/>
      <x:c r="N28" s="136"/>
      <x:c r="O28" s="136"/>
      <x:c r="P28" s="136"/>
      <x:c r="Q28" s="136"/>
      <x:c r="R28" s="136"/>
      <x:c r="S28" s="136"/>
      <x:c r="T28" s="136"/>
      <x:c r="U28" s="136"/>
      <x:c r="V28" s="136"/>
      <x:c r="W28" s="136"/>
      <x:c r="X28" s="136"/>
      <x:c r="Y28" s="136"/>
      <x:c r="Z28" s="136"/>
    </x:row>
    <x:row r="29">
      <x:c r="A29" s="136"/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  <x:c r="N29" s="136"/>
      <x:c r="O29" s="136"/>
      <x:c r="P29" s="136"/>
      <x:c r="Q29" s="136"/>
      <x:c r="R29" s="136"/>
      <x:c r="S29" s="136"/>
      <x:c r="T29" s="136"/>
      <x:c r="U29" s="136"/>
      <x:c r="V29" s="136"/>
      <x:c r="W29" s="136"/>
      <x:c r="X29" s="136"/>
      <x:c r="Y29" s="136"/>
      <x:c r="Z29" s="136"/>
    </x:row>
    <x:row r="30">
      <x:c r="A30" s="256" t="str">
        <x:v>Reconstruction Sources</x:v>
      </x:c>
      <x:c r="B30" s="256" t="str"/>
      <x:c r="C30" s="256" t="str"/>
      <x:c r="D30" s="256" t="str"/>
      <x:c r="E30" s="256" t="str"/>
      <x:c r="F30" s="136"/>
      <x:c r="G30" s="136"/>
      <x:c r="H30" s="136"/>
      <x:c r="I30" s="136"/>
      <x:c r="J30" s="136"/>
      <x:c r="K30" s="136"/>
      <x:c r="L30" s="136"/>
      <x:c r="M30" s="136"/>
      <x:c r="N30" s="136"/>
      <x:c r="O30" s="136"/>
      <x:c r="P30" s="136"/>
      <x:c r="Q30" s="136"/>
      <x:c r="R30" s="136"/>
      <x:c r="S30" s="136"/>
      <x:c r="T30" s="136"/>
      <x:c r="U30" s="136"/>
      <x:c r="V30" s="136"/>
      <x:c r="W30" s="136"/>
      <x:c r="X30" s="136"/>
      <x:c r="Y30" s="136"/>
      <x:c r="Z30" s="136"/>
    </x:row>
    <x:row r="31">
      <x:c r="A31" s="116" t="n">
        <x:v>11</x:v>
      </x:c>
      <x:c r="B31" s="116" t="str">
        <x:v>ANP national naphtha import series</x:v>
      </x:c>
      <x:c r="C31" s="116" t="str">
        <x:v>National naphtha imports through August; fetched Oct-1; revised January–July.</x:v>
      </x:c>
      <x:c r="D31" s="171" t="str">
        <x:v>https://www.gov.br/anp/pt-br/centrais-de-conteudo/dados-abertos/arquivos/ie/derivados/importacoes-exportacoes-derivados-2000-2025.csv/view</x:v>
      </x:c>
      <x:c r="E31" s="116" t="str">
        <x:v>Monthly</x:v>
      </x:c>
      <x:c r="F31" s="136"/>
      <x:c r="G31" s="136"/>
      <x:c r="H31" s="136"/>
      <x:c r="I31" s="136"/>
      <x:c r="J31" s="136"/>
      <x:c r="K31" s="136"/>
      <x:c r="L31" s="136"/>
      <x:c r="M31" s="136"/>
      <x:c r="N31" s="136"/>
      <x:c r="O31" s="136"/>
      <x:c r="P31" s="136"/>
      <x:c r="Q31" s="136"/>
      <x:c r="R31" s="136"/>
      <x:c r="S31" s="136"/>
      <x:c r="T31" s="136"/>
      <x:c r="U31" s="136"/>
      <x:c r="V31" s="136"/>
      <x:c r="W31" s="136"/>
      <x:c r="X31" s="136"/>
      <x:c r="Y31" s="136"/>
      <x:c r="Z31" s="136"/>
    </x:row>
    <x:row r="32">
      <x:c r="A32" s="116" t="n">
        <x:v>12</x:v>
      </x:c>
      <x:c r="B32" s="116" t="str">
        <x:v>ANP 2026 customs clearances</x:v>
      </x:c>
      <x:c r="C32" s="116" t="str">
        <x:v>Importer / product / entry point / kg / origin</x:v>
      </x:c>
      <x:c r="D32" s="171" t="str">
        <x:v>https://www.gov.br/anp/pt-br/assuntos/importacoes-e-exportacoes/arquivos-desembaracos/desembaraco-2026.xlsx</x:v>
      </x:c>
      <x:c r="E32" s="116" t="str">
        <x:v>Monthly, second half following month</x:v>
      </x:c>
      <x:c r="F32" s="136"/>
      <x:c r="G32" s="136"/>
      <x:c r="H32" s="136"/>
      <x:c r="I32" s="136"/>
      <x:c r="J32" s="136"/>
      <x:c r="K32" s="136"/>
      <x:c r="L32" s="136"/>
      <x:c r="M32" s="136"/>
      <x:c r="N32" s="136"/>
      <x:c r="O32" s="136"/>
      <x:c r="P32" s="136"/>
      <x:c r="Q32" s="136"/>
      <x:c r="R32" s="136"/>
      <x:c r="S32" s="136"/>
      <x:c r="T32" s="136"/>
      <x:c r="U32" s="136"/>
      <x:c r="V32" s="136"/>
      <x:c r="W32" s="136"/>
      <x:c r="X32" s="136"/>
      <x:c r="Y32" s="136"/>
      <x:c r="Z32" s="136"/>
    </x:row>
    <x:row r="33">
      <x:c r="A33" s="116" t="n">
        <x:v>13</x:v>
      </x:c>
      <x:c r="B33" s="116" t="str">
        <x:v>ANP customs clearance landing page</x:v>
      </x:c>
      <x:c r="C33" s="116" t="str">
        <x:v>Explains fields and publication cadence</x:v>
      </x:c>
      <x:c r="D33" s="171" t="str">
        <x:v>https://www.gov.br/anp/pt-br/assuntos/importacoes-e-exportacoes/relatorio-de-desembaracos-de-importacoes-de-petroleo-gas-derivados-e-biocombustiveis</x:v>
      </x:c>
      <x:c r="E33" s="116" t="str">
        <x:v>Monthly</x:v>
      </x:c>
      <x:c r="F33" s="136"/>
      <x:c r="G33" s="136"/>
      <x:c r="H33" s="136"/>
      <x:c r="I33" s="136"/>
      <x:c r="J33" s="136"/>
      <x:c r="K33" s="136"/>
      <x:c r="L33" s="136"/>
      <x:c r="M33" s="136"/>
      <x:c r="N33" s="136"/>
      <x:c r="O33" s="136"/>
      <x:c r="P33" s="136"/>
      <x:c r="Q33" s="136"/>
      <x:c r="R33" s="136"/>
      <x:c r="S33" s="136"/>
      <x:c r="T33" s="136"/>
      <x:c r="U33" s="136"/>
      <x:c r="V33" s="136"/>
      <x:c r="W33" s="136"/>
      <x:c r="X33" s="136"/>
      <x:c r="Y33" s="136"/>
      <x:c r="Z33" s="136"/>
    </x:row>
    <x:row r="34">
      <x:c r="A34" s="116" t="n">
        <x:v>14</x:v>
      </x:c>
      <x:c r="B34" s="116" t="str">
        <x:v>ANP terminal movements</x:v>
      </x:c>
      <x:c r="C34" s="116" t="str">
        <x:v>Terminal receipt/delivery volumes</x:v>
      </x:c>
      <x:c r="D34" s="171" t="str">
        <x:v>https://www.gov.br/anp/pt-br/centrais-de-conteudo/dados-abertos/movimentacao-dos-terminais-aquaviarios</x:v>
      </x:c>
      <x:c r="E34" s="116" t="str">
        <x:v>Monthly</x:v>
      </x:c>
      <x:c r="F34" s="136"/>
      <x:c r="G34" s="136"/>
      <x:c r="H34" s="136"/>
      <x:c r="I34" s="136"/>
      <x:c r="J34" s="136"/>
      <x:c r="K34" s="136"/>
      <x:c r="L34" s="136"/>
      <x:c r="M34" s="136"/>
      <x:c r="N34" s="136"/>
      <x:c r="O34" s="136"/>
      <x:c r="P34" s="136"/>
      <x:c r="Q34" s="136"/>
      <x:c r="R34" s="136"/>
      <x:c r="S34" s="136"/>
      <x:c r="T34" s="136"/>
      <x:c r="U34" s="136"/>
      <x:c r="V34" s="136"/>
      <x:c r="W34" s="136"/>
      <x:c r="X34" s="136"/>
      <x:c r="Y34" s="136"/>
      <x:c r="Z34" s="136"/>
    </x:row>
    <x:row r="35">
      <x:c r="A35" s="136"/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  <x:c r="N35" s="136"/>
      <x:c r="O35" s="136"/>
      <x:c r="P35" s="136"/>
      <x:c r="Q35" s="136"/>
      <x:c r="R35" s="136"/>
      <x:c r="S35" s="136"/>
      <x:c r="T35" s="136"/>
      <x:c r="U35" s="136"/>
      <x:c r="V35" s="136"/>
      <x:c r="W35" s="136"/>
      <x:c r="X35" s="136"/>
      <x:c r="Y35" s="136"/>
      <x:c r="Z35" s="136"/>
    </x:row>
    <x:row r="36">
      <x:c r="A36" s="297" t="str">
        <x:v>Latest Sep-2 Refresh Sources</x:v>
      </x:c>
      <x:c r="B36" s="297" t="str"/>
      <x:c r="C36" s="297" t="str"/>
      <x:c r="D36" s="297" t="str"/>
      <x:c r="E36" s="297" t="str"/>
      <x:c r="F36" s="136"/>
      <x:c r="G36" s="136"/>
      <x:c r="H36" s="136"/>
      <x:c r="I36" s="136"/>
      <x:c r="J36" s="136"/>
      <x:c r="K36" s="136"/>
      <x:c r="L36" s="136"/>
      <x:c r="M36" s="136"/>
      <x:c r="N36" s="136"/>
      <x:c r="O36" s="136"/>
      <x:c r="P36" s="136"/>
      <x:c r="Q36" s="136"/>
      <x:c r="R36" s="136"/>
      <x:c r="S36" s="136"/>
      <x:c r="T36" s="136"/>
      <x:c r="U36" s="136"/>
      <x:c r="V36" s="136"/>
      <x:c r="W36" s="136"/>
      <x:c r="X36" s="136"/>
      <x:c r="Y36" s="136"/>
      <x:c r="Z36" s="136"/>
    </x:row>
    <x:row r="37">
      <x:c r="A37" s="116" t="n">
        <x:v>15</x:v>
      </x:c>
      <x:c r="B37" s="116" t="str">
        <x:v>ANP imports dataset — Aug-28 update</x:v>
      </x:c>
      <x:c r="C37" s="116" t="str">
        <x:v>Adds July 2026 national derivatives/naphtha import data</x:v>
      </x:c>
      <x:c r="D37" s="171" t="str">
        <x:v>https://www.gov.br/anp/pt-br/centrais-de-conteudo/dados-abertos/importacoes-e-exportacoes</x:v>
      </x:c>
      <x:c r="E37" s="116" t="str">
        <x:v>Monthly</x:v>
      </x:c>
      <x:c r="F37" s="136"/>
      <x:c r="G37" s="136"/>
      <x:c r="H37" s="136"/>
      <x:c r="I37" s="136"/>
      <x:c r="J37" s="136"/>
      <x:c r="K37" s="136"/>
      <x:c r="L37" s="136"/>
      <x:c r="M37" s="136"/>
      <x:c r="N37" s="136"/>
      <x:c r="O37" s="136"/>
      <x:c r="P37" s="136"/>
      <x:c r="Q37" s="136"/>
      <x:c r="R37" s="136"/>
      <x:c r="S37" s="136"/>
      <x:c r="T37" s="136"/>
      <x:c r="U37" s="136"/>
      <x:c r="V37" s="136"/>
      <x:c r="W37" s="136"/>
      <x:c r="X37" s="136"/>
      <x:c r="Y37" s="136"/>
      <x:c r="Z37" s="136"/>
    </x:row>
    <x:row r="38">
      <x:c r="A38" s="116" t="n">
        <x:v>16</x:v>
      </x:c>
      <x:c r="B38" s="116" t="str">
        <x:v>CODEBA Aratu live schedule — Sep-2</x:v>
      </x:c>
      <x:c r="C38" s="116" t="str">
        <x:v>Torm live; Pine Olia / Bright Future / Tweed forward calls</x:v>
      </x:c>
      <x:c r="D38" s="171" t="str">
        <x:v>https://codeba.gov.br/eficiente/sites/portalcodeba/pt-br/porto_aratu.php?secao=tportos_aratu</x:v>
      </x:c>
      <x:c r="E38" s="116" t="str">
        <x:v>Near real time</x:v>
      </x:c>
      <x:c r="F38" s="136"/>
      <x:c r="G38" s="136"/>
      <x:c r="H38" s="136"/>
      <x:c r="I38" s="136"/>
      <x:c r="J38" s="136"/>
      <x:c r="K38" s="136"/>
      <x:c r="L38" s="136"/>
      <x:c r="M38" s="136"/>
      <x:c r="N38" s="136"/>
      <x:c r="O38" s="136"/>
      <x:c r="P38" s="136"/>
      <x:c r="Q38" s="136"/>
      <x:c r="R38" s="136"/>
      <x:c r="S38" s="136"/>
      <x:c r="T38" s="136"/>
      <x:c r="U38" s="136"/>
      <x:c r="V38" s="136"/>
      <x:c r="W38" s="136"/>
      <x:c r="X38" s="136"/>
      <x:c r="Y38" s="136"/>
      <x:c r="Z38" s="136"/>
    </x:row>
    <x:row r="39">
      <x:c r="A39" s="116" t="n">
        <x:v>17</x:v>
      </x:c>
      <x:c r="B39" s="116" t="str">
        <x:v>Braskem 2Q26 Production &amp; Sales</x:v>
      </x:c>
      <x:c r="C39" s="116" t="str">
        <x:v>Naphtha ARA +27% QoQ; Brazil production maintained amid feedstock volatility</x:v>
      </x:c>
      <x:c r="D39" s="171" t="str">
        <x:v>https://www.sec.gov/Archives/edgar/data/1071438/000129281426003992/bak20260730_6k.htm</x:v>
      </x:c>
      <x:c r="E39" s="116" t="str">
        <x:v>Quarterly</x:v>
      </x:c>
      <x:c r="F39" s="136"/>
      <x:c r="G39" s="136"/>
      <x:c r="H39" s="136"/>
      <x:c r="I39" s="136"/>
      <x:c r="J39" s="136"/>
      <x:c r="K39" s="136"/>
      <x:c r="L39" s="136"/>
      <x:c r="M39" s="136"/>
      <x:c r="N39" s="136"/>
      <x:c r="O39" s="136"/>
      <x:c r="P39" s="136"/>
      <x:c r="Q39" s="136"/>
      <x:c r="R39" s="136"/>
      <x:c r="S39" s="136"/>
      <x:c r="T39" s="136"/>
      <x:c r="U39" s="136"/>
      <x:c r="V39" s="136"/>
      <x:c r="W39" s="136"/>
      <x:c r="X39" s="136"/>
      <x:c r="Y39" s="136"/>
      <x:c r="Z39" s="136"/>
    </x:row>
    <x:row r="40">
      <x:c r="A40" s="116" t="n">
        <x:v>18</x:v>
      </x:c>
      <x:c r="B40" s="116" t="str">
        <x:v>Reuters — ADNOC naphtha route resumption</x:v>
      </x:c>
      <x:c r="C40" s="116" t="str">
        <x:v>Documents shock-era naphtha price spike and subsequent easing</x:v>
      </x:c>
      <x:c r="D40" s="171" t="str">
        <x:v>https://www.reuters.com/world/middle-east/adnoc-resumes-naphtha-exports-via-alternative-oman-route-traders-say-2026-06-02/</x:v>
      </x:c>
      <x:c r="E40" s="116" t="str">
        <x:v>Event context</x:v>
      </x:c>
      <x:c r="F40" s="136"/>
      <x:c r="G40" s="136"/>
      <x:c r="H40" s="136"/>
      <x:c r="I40" s="136"/>
      <x:c r="J40" s="136"/>
      <x:c r="K40" s="136"/>
      <x:c r="L40" s="136"/>
      <x:c r="M40" s="136"/>
      <x:c r="N40" s="136"/>
      <x:c r="O40" s="136"/>
      <x:c r="P40" s="136"/>
      <x:c r="Q40" s="136"/>
      <x:c r="R40" s="136"/>
      <x:c r="S40" s="136"/>
      <x:c r="T40" s="136"/>
      <x:c r="U40" s="136"/>
      <x:c r="V40" s="136"/>
      <x:c r="W40" s="136"/>
      <x:c r="X40" s="136"/>
      <x:c r="Y40" s="136"/>
      <x:c r="Z40" s="136"/>
    </x:row>
    <x:row r="41">
      <x:c r="A41" s="136"/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36"/>
      <x:c r="Q41" s="136"/>
      <x:c r="R41" s="136"/>
      <x:c r="S41" s="136"/>
      <x:c r="T41" s="136"/>
      <x:c r="U41" s="136"/>
      <x:c r="V41" s="136"/>
      <x:c r="W41" s="136"/>
      <x:c r="X41" s="136"/>
      <x:c r="Y41" s="136"/>
      <x:c r="Z41" s="136"/>
    </x:row>
    <x:row r="42">
      <x:c r="A42" s="136" t="str">
        <x:v>01-Oct-2026 refresh</x:v>
      </x:c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36"/>
      <x:c r="Q42" s="136"/>
      <x:c r="R42" s="136"/>
      <x:c r="S42" s="136"/>
      <x:c r="T42" s="136"/>
      <x:c r="U42" s="136"/>
      <x:c r="V42" s="136"/>
      <x:c r="W42" s="136"/>
      <x:c r="X42" s="136"/>
      <x:c r="Y42" s="136"/>
      <x:c r="Z42" s="136"/>
    </x:row>
    <x:row r="43" ht="58" customHeight="1">
      <x:c r="A43" s="176" t="n">
        <x:v>19</x:v>
      </x:c>
      <x:c r="B43" s="176" t="str">
        <x:v>ANP customs report through August</x:v>
      </x:c>
      <x:c r="C43" s="176" t="str">
        <x:v>143 records across NCM 27101241 and 27101249; summary isolates Braskem petrochemical naphtha</x:v>
      </x:c>
      <x:c r="D43" s="176" t="str">
        <x:v>https://www.gov.br/anp/pt-br/assuntos/importacoes-e-exportacoes/arquivos-desembaracos/desembaraco-2026.xlsx</x:v>
      </x:c>
      <x:c r="E43" s="176" t="str">
        <x:v>Monthly</x:v>
      </x:c>
      <x:c r="F43" s="136"/>
      <x:c r="G43" s="136"/>
      <x:c r="H43" s="136"/>
      <x:c r="I43" s="136"/>
      <x:c r="J43" s="136"/>
      <x:c r="K43" s="136"/>
      <x:c r="L43" s="136"/>
      <x:c r="M43" s="136"/>
      <x:c r="N43" s="136"/>
      <x:c r="O43" s="136"/>
      <x:c r="P43" s="136"/>
      <x:c r="Q43" s="136"/>
      <x:c r="R43" s="136"/>
      <x:c r="S43" s="136"/>
      <x:c r="T43" s="136"/>
      <x:c r="U43" s="136"/>
      <x:c r="V43" s="136"/>
      <x:c r="W43" s="136"/>
      <x:c r="X43" s="136"/>
      <x:c r="Y43" s="136"/>
      <x:c r="Z43" s="136"/>
    </x:row>
    <x:row r="44" ht="58" customHeight="1">
      <x:c r="A44" s="176" t="n">
        <x:v>20</x:v>
      </x:c>
      <x:c r="B44" s="176" t="str">
        <x:v>CODEBA Oct-1 current schedule</x:v>
      </x:c>
      <x:c r="C44" s="176" t="str">
        <x:v>Beautiful 56.617kt berthed; Cedar 34.097kt / Pine 27.6kt anchored; Blooming 28kt scheduled; Baiacu TBD. Planned cargo.</x:v>
      </x:c>
      <x:c r="D44" s="176" t="str">
        <x:v>https://codeba.gov.br/eficiente/sites/portalcodeba/pt-br/porto_aratu.php?secao=tportos_aratu</x:v>
      </x:c>
      <x:c r="E44" s="176" t="str">
        <x:v>Near real time</x:v>
      </x:c>
      <x:c r="F44" s="136"/>
      <x:c r="G44" s="136"/>
      <x:c r="H44" s="136"/>
      <x:c r="I44" s="136"/>
      <x:c r="J44" s="136"/>
      <x:c r="K44" s="136"/>
      <x:c r="L44" s="136"/>
      <x:c r="M44" s="136"/>
      <x:c r="N44" s="136"/>
      <x:c r="O44" s="136"/>
      <x:c r="P44" s="136"/>
      <x:c r="Q44" s="136"/>
      <x:c r="R44" s="136"/>
      <x:c r="S44" s="136"/>
      <x:c r="T44" s="136"/>
      <x:c r="U44" s="136"/>
      <x:c r="V44" s="136"/>
      <x:c r="W44" s="136"/>
      <x:c r="X44" s="136"/>
      <x:c r="Y44" s="136"/>
      <x:c r="Z44" s="136"/>
    </x:row>
    <x:row r="45">
      <x:c r="A45" s="136"/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  <x:c r="N45" s="136"/>
      <x:c r="O45" s="136"/>
      <x:c r="P45" s="136"/>
      <x:c r="Q45" s="136"/>
      <x:c r="R45" s="136"/>
      <x:c r="S45" s="136"/>
      <x:c r="T45" s="136"/>
      <x:c r="U45" s="136"/>
      <x:c r="V45" s="136"/>
      <x:c r="W45" s="136"/>
      <x:c r="X45" s="136"/>
      <x:c r="Y45" s="136"/>
      <x:c r="Z45" s="136"/>
    </x:row>
    <x:row r="46">
      <x:c r="A46" s="136"/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  <x:c r="N46" s="136"/>
      <x:c r="O46" s="136"/>
      <x:c r="P46" s="136"/>
      <x:c r="Q46" s="136"/>
      <x:c r="R46" s="136"/>
      <x:c r="S46" s="136"/>
      <x:c r="T46" s="136"/>
      <x:c r="U46" s="136"/>
      <x:c r="V46" s="136"/>
      <x:c r="W46" s="136"/>
      <x:c r="X46" s="136"/>
      <x:c r="Y46" s="136"/>
      <x:c r="Z46" s="136"/>
    </x:row>
    <x:row r="47">
      <x:c r="A47" s="136"/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  <x:c r="N47" s="136"/>
      <x:c r="O47" s="136"/>
      <x:c r="P47" s="136"/>
      <x:c r="Q47" s="136"/>
      <x:c r="R47" s="136"/>
      <x:c r="S47" s="136"/>
      <x:c r="T47" s="136"/>
      <x:c r="U47" s="136"/>
      <x:c r="V47" s="136"/>
      <x:c r="W47" s="136"/>
      <x:c r="X47" s="136"/>
      <x:c r="Y47" s="136"/>
      <x:c r="Z47" s="136"/>
    </x:row>
    <x:row r="48">
      <x:c r="A48" s="136"/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  <x:c r="N48" s="136"/>
      <x:c r="O48" s="136"/>
      <x:c r="P48" s="136"/>
      <x:c r="Q48" s="136"/>
      <x:c r="R48" s="136"/>
      <x:c r="S48" s="136"/>
      <x:c r="T48" s="136"/>
      <x:c r="U48" s="136"/>
      <x:c r="V48" s="136"/>
      <x:c r="W48" s="136"/>
      <x:c r="X48" s="136"/>
      <x:c r="Y48" s="136"/>
      <x:c r="Z48" s="136"/>
    </x:row>
    <x:row r="49">
      <x:c r="A49" s="136"/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  <x:c r="N49" s="136"/>
      <x:c r="O49" s="136"/>
      <x:c r="P49" s="136"/>
      <x:c r="Q49" s="136"/>
      <x:c r="R49" s="136"/>
      <x:c r="S49" s="136"/>
      <x:c r="T49" s="136"/>
      <x:c r="U49" s="136"/>
      <x:c r="V49" s="136"/>
      <x:c r="W49" s="136"/>
      <x:c r="X49" s="136"/>
      <x:c r="Y49" s="136"/>
      <x:c r="Z49" s="136"/>
    </x:row>
    <x:row r="50">
      <x:c r="A50" s="136"/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  <x:c r="N50" s="136"/>
      <x:c r="O50" s="136"/>
      <x:c r="P50" s="136"/>
      <x:c r="Q50" s="136"/>
      <x:c r="R50" s="136"/>
      <x:c r="S50" s="136"/>
      <x:c r="T50" s="136"/>
      <x:c r="U50" s="136"/>
      <x:c r="V50" s="136"/>
      <x:c r="W50" s="136"/>
      <x:c r="X50" s="136"/>
      <x:c r="Y50" s="136"/>
      <x:c r="Z50" s="136"/>
    </x:row>
    <x:row r="51">
      <x:c r="A51" s="136"/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  <x:c r="N51" s="136"/>
      <x:c r="O51" s="136"/>
      <x:c r="P51" s="136"/>
      <x:c r="Q51" s="136"/>
      <x:c r="R51" s="136"/>
      <x:c r="S51" s="136"/>
      <x:c r="T51" s="136"/>
      <x:c r="U51" s="136"/>
      <x:c r="V51" s="136"/>
      <x:c r="W51" s="136"/>
      <x:c r="X51" s="136"/>
      <x:c r="Y51" s="136"/>
      <x:c r="Z51" s="136"/>
    </x:row>
    <x:row r="52">
      <x:c r="A52" s="136"/>
      <x:c r="B52" s="136"/>
      <x:c r="C52" s="136"/>
      <x:c r="D52" s="136"/>
      <x:c r="E52" s="136"/>
      <x:c r="F52" s="136"/>
      <x:c r="G52" s="136"/>
      <x:c r="H52" s="136"/>
      <x:c r="I52" s="136"/>
      <x:c r="J52" s="136"/>
      <x:c r="K52" s="136"/>
      <x:c r="L52" s="136"/>
      <x:c r="M52" s="136"/>
      <x:c r="N52" s="136"/>
      <x:c r="O52" s="136"/>
      <x:c r="P52" s="136"/>
      <x:c r="Q52" s="136"/>
      <x:c r="R52" s="136"/>
      <x:c r="S52" s="136"/>
      <x:c r="T52" s="136"/>
      <x:c r="U52" s="136"/>
      <x:c r="V52" s="136"/>
      <x:c r="W52" s="136"/>
      <x:c r="X52" s="136"/>
      <x:c r="Y52" s="136"/>
      <x:c r="Z52" s="136"/>
    </x:row>
    <x:row r="53">
      <x:c r="A53" s="136"/>
      <x:c r="B53" s="136"/>
      <x:c r="C53" s="136"/>
      <x:c r="D53" s="136"/>
      <x:c r="E53" s="136"/>
      <x:c r="F53" s="136"/>
      <x:c r="G53" s="136"/>
      <x:c r="H53" s="136"/>
      <x:c r="I53" s="136"/>
      <x:c r="J53" s="136"/>
      <x:c r="K53" s="136"/>
      <x:c r="L53" s="136"/>
      <x:c r="M53" s="136"/>
      <x:c r="N53" s="136"/>
      <x:c r="O53" s="136"/>
      <x:c r="P53" s="136"/>
      <x:c r="Q53" s="136"/>
      <x:c r="R53" s="136"/>
      <x:c r="S53" s="136"/>
      <x:c r="T53" s="136"/>
      <x:c r="U53" s="136"/>
      <x:c r="V53" s="136"/>
      <x:c r="W53" s="136"/>
      <x:c r="X53" s="136"/>
      <x:c r="Y53" s="136"/>
      <x:c r="Z53" s="136"/>
    </x:row>
    <x:row r="54">
      <x:c r="A54" s="136"/>
      <x:c r="B54" s="136"/>
      <x:c r="C54" s="136"/>
      <x:c r="D54" s="136"/>
      <x:c r="E54" s="136"/>
      <x:c r="F54" s="136"/>
      <x:c r="G54" s="136"/>
      <x:c r="H54" s="136"/>
      <x:c r="I54" s="136"/>
      <x:c r="J54" s="136"/>
      <x:c r="K54" s="136"/>
      <x:c r="L54" s="136"/>
      <x:c r="M54" s="136"/>
      <x:c r="N54" s="136"/>
      <x:c r="O54" s="136"/>
      <x:c r="P54" s="136"/>
      <x:c r="Q54" s="136"/>
      <x:c r="R54" s="136"/>
      <x:c r="S54" s="136"/>
      <x:c r="T54" s="136"/>
      <x:c r="U54" s="136"/>
      <x:c r="V54" s="136"/>
      <x:c r="W54" s="136"/>
      <x:c r="X54" s="136"/>
      <x:c r="Y54" s="136"/>
      <x:c r="Z54" s="136"/>
    </x:row>
    <x:row r="55">
      <x:c r="A55" s="136"/>
      <x:c r="B55" s="136"/>
      <x:c r="C55" s="136"/>
      <x:c r="D55" s="136"/>
      <x:c r="E55" s="136"/>
      <x:c r="F55" s="136"/>
      <x:c r="G55" s="136"/>
      <x:c r="H55" s="136"/>
      <x:c r="I55" s="136"/>
      <x:c r="J55" s="136"/>
      <x:c r="K55" s="136"/>
      <x:c r="L55" s="136"/>
      <x:c r="M55" s="136"/>
      <x:c r="N55" s="136"/>
      <x:c r="O55" s="136"/>
      <x:c r="P55" s="136"/>
      <x:c r="Q55" s="136"/>
      <x:c r="R55" s="136"/>
      <x:c r="S55" s="136"/>
      <x:c r="T55" s="136"/>
      <x:c r="U55" s="136"/>
      <x:c r="V55" s="136"/>
      <x:c r="W55" s="136"/>
      <x:c r="X55" s="136"/>
      <x:c r="Y55" s="136"/>
      <x:c r="Z55" s="136"/>
    </x:row>
    <x:row r="56">
      <x:c r="A56" s="136"/>
      <x:c r="B56" s="136"/>
      <x:c r="C56" s="136"/>
      <x:c r="D56" s="136"/>
      <x:c r="E56" s="136"/>
      <x:c r="F56" s="136"/>
      <x:c r="G56" s="136"/>
      <x:c r="H56" s="136"/>
      <x:c r="I56" s="136"/>
      <x:c r="J56" s="136"/>
      <x:c r="K56" s="136"/>
      <x:c r="L56" s="136"/>
      <x:c r="M56" s="136"/>
      <x:c r="N56" s="136"/>
      <x:c r="O56" s="136"/>
      <x:c r="P56" s="136"/>
      <x:c r="Q56" s="136"/>
      <x:c r="R56" s="136"/>
      <x:c r="S56" s="136"/>
      <x:c r="T56" s="136"/>
      <x:c r="U56" s="136"/>
      <x:c r="V56" s="136"/>
      <x:c r="W56" s="136"/>
      <x:c r="X56" s="136"/>
      <x:c r="Y56" s="136"/>
      <x:c r="Z56" s="136"/>
    </x:row>
    <x:row r="57">
      <x:c r="A57" s="136"/>
      <x:c r="B57" s="136"/>
      <x:c r="C57" s="136"/>
      <x:c r="D57" s="136"/>
      <x:c r="E57" s="136"/>
      <x:c r="F57" s="136"/>
      <x:c r="G57" s="136"/>
      <x:c r="H57" s="136"/>
      <x:c r="I57" s="136"/>
      <x:c r="J57" s="136"/>
      <x:c r="K57" s="136"/>
      <x:c r="L57" s="136"/>
      <x:c r="M57" s="136"/>
      <x:c r="N57" s="136"/>
      <x:c r="O57" s="136"/>
      <x:c r="P57" s="136"/>
      <x:c r="Q57" s="136"/>
      <x:c r="R57" s="136"/>
      <x:c r="S57" s="136"/>
      <x:c r="T57" s="136"/>
      <x:c r="U57" s="136"/>
      <x:c r="V57" s="136"/>
      <x:c r="W57" s="136"/>
      <x:c r="X57" s="136"/>
      <x:c r="Y57" s="136"/>
      <x:c r="Z57" s="136"/>
    </x:row>
    <x:row r="58">
      <x:c r="A58" s="136"/>
      <x:c r="B58" s="136"/>
      <x:c r="C58" s="136"/>
      <x:c r="D58" s="136"/>
      <x:c r="E58" s="136"/>
      <x:c r="F58" s="136"/>
      <x:c r="G58" s="136"/>
      <x:c r="H58" s="136"/>
      <x:c r="I58" s="136"/>
      <x:c r="J58" s="136"/>
      <x:c r="K58" s="136"/>
      <x:c r="L58" s="136"/>
      <x:c r="M58" s="136"/>
      <x:c r="N58" s="136"/>
      <x:c r="O58" s="136"/>
      <x:c r="P58" s="136"/>
      <x:c r="Q58" s="136"/>
      <x:c r="R58" s="136"/>
      <x:c r="S58" s="136"/>
      <x:c r="T58" s="136"/>
      <x:c r="U58" s="136"/>
      <x:c r="V58" s="136"/>
      <x:c r="W58" s="136"/>
      <x:c r="X58" s="136"/>
      <x:c r="Y58" s="136"/>
      <x:c r="Z58" s="136"/>
    </x:row>
    <x:row r="59">
      <x:c r="A59" s="136"/>
      <x:c r="B59" s="136"/>
      <x:c r="C59" s="136"/>
      <x:c r="D59" s="136"/>
      <x:c r="E59" s="136"/>
      <x:c r="F59" s="136"/>
      <x:c r="G59" s="136"/>
      <x:c r="H59" s="136"/>
      <x:c r="I59" s="136"/>
      <x:c r="J59" s="136"/>
      <x:c r="K59" s="136"/>
      <x:c r="L59" s="136"/>
      <x:c r="M59" s="136"/>
      <x:c r="N59" s="136"/>
      <x:c r="O59" s="136"/>
      <x:c r="P59" s="136"/>
      <x:c r="Q59" s="136"/>
      <x:c r="R59" s="136"/>
      <x:c r="S59" s="136"/>
      <x:c r="T59" s="136"/>
      <x:c r="U59" s="136"/>
      <x:c r="V59" s="136"/>
      <x:c r="W59" s="136"/>
      <x:c r="X59" s="136"/>
      <x:c r="Y59" s="136"/>
      <x:c r="Z59" s="136"/>
    </x:row>
    <x:row r="60">
      <x:c r="A60" s="136"/>
      <x:c r="B60" s="136"/>
      <x:c r="C60" s="136"/>
      <x:c r="D60" s="136"/>
      <x:c r="E60" s="136"/>
      <x:c r="F60" s="136"/>
      <x:c r="G60" s="136"/>
      <x:c r="H60" s="136"/>
      <x:c r="I60" s="136"/>
      <x:c r="J60" s="136"/>
      <x:c r="K60" s="136"/>
      <x:c r="L60" s="136"/>
      <x:c r="M60" s="136"/>
      <x:c r="N60" s="136"/>
      <x:c r="O60" s="136"/>
      <x:c r="P60" s="136"/>
      <x:c r="Q60" s="136"/>
      <x:c r="R60" s="136"/>
      <x:c r="S60" s="136"/>
      <x:c r="T60" s="136"/>
      <x:c r="U60" s="136"/>
      <x:c r="V60" s="136"/>
      <x:c r="W60" s="136"/>
      <x:c r="X60" s="136"/>
      <x:c r="Y60" s="136"/>
      <x:c r="Z60" s="136"/>
    </x:row>
    <x:row r="61">
      <x:c r="A61" s="136"/>
      <x:c r="B61" s="136"/>
      <x:c r="C61" s="136"/>
      <x:c r="D61" s="136"/>
      <x:c r="E61" s="136"/>
      <x:c r="F61" s="136"/>
      <x:c r="G61" s="136"/>
      <x:c r="H61" s="136"/>
      <x:c r="I61" s="136"/>
      <x:c r="J61" s="136"/>
      <x:c r="K61" s="136"/>
      <x:c r="L61" s="136"/>
      <x:c r="M61" s="136"/>
      <x:c r="N61" s="136"/>
      <x:c r="O61" s="136"/>
      <x:c r="P61" s="136"/>
      <x:c r="Q61" s="136"/>
      <x:c r="R61" s="136"/>
      <x:c r="S61" s="136"/>
      <x:c r="T61" s="136"/>
      <x:c r="U61" s="136"/>
      <x:c r="V61" s="136"/>
      <x:c r="W61" s="136"/>
      <x:c r="X61" s="136"/>
      <x:c r="Y61" s="136"/>
      <x:c r="Z61" s="136"/>
    </x:row>
    <x:row r="62">
      <x:c r="A62" s="136"/>
      <x:c r="B62" s="136"/>
      <x:c r="C62" s="136"/>
      <x:c r="D62" s="136"/>
      <x:c r="E62" s="136"/>
      <x:c r="F62" s="136"/>
      <x:c r="G62" s="136"/>
      <x:c r="H62" s="136"/>
      <x:c r="I62" s="136"/>
      <x:c r="J62" s="136"/>
      <x:c r="K62" s="136"/>
      <x:c r="L62" s="136"/>
      <x:c r="M62" s="136"/>
      <x:c r="N62" s="136"/>
      <x:c r="O62" s="136"/>
      <x:c r="P62" s="136"/>
      <x:c r="Q62" s="136"/>
      <x:c r="R62" s="136"/>
      <x:c r="S62" s="136"/>
      <x:c r="T62" s="136"/>
      <x:c r="U62" s="136"/>
      <x:c r="V62" s="136"/>
      <x:c r="W62" s="136"/>
      <x:c r="X62" s="136"/>
      <x:c r="Y62" s="136"/>
      <x:c r="Z62" s="136"/>
    </x:row>
    <x:row r="63">
      <x:c r="A63" s="136"/>
      <x:c r="B63" s="136"/>
      <x:c r="C63" s="136"/>
      <x:c r="D63" s="136"/>
      <x:c r="E63" s="136"/>
      <x:c r="F63" s="136"/>
      <x:c r="G63" s="136"/>
      <x:c r="H63" s="136"/>
      <x:c r="I63" s="136"/>
      <x:c r="J63" s="136"/>
      <x:c r="K63" s="136"/>
      <x:c r="L63" s="136"/>
      <x:c r="M63" s="136"/>
      <x:c r="N63" s="136"/>
      <x:c r="O63" s="136"/>
      <x:c r="P63" s="136"/>
      <x:c r="Q63" s="136"/>
      <x:c r="R63" s="136"/>
      <x:c r="S63" s="136"/>
      <x:c r="T63" s="136"/>
      <x:c r="U63" s="136"/>
      <x:c r="V63" s="136"/>
      <x:c r="W63" s="136"/>
      <x:c r="X63" s="136"/>
      <x:c r="Y63" s="136"/>
      <x:c r="Z63" s="136"/>
    </x:row>
    <x:row r="64">
      <x:c r="A64" s="136"/>
      <x:c r="B64" s="136"/>
      <x:c r="C64" s="136"/>
      <x:c r="D64" s="136"/>
      <x:c r="E64" s="136"/>
      <x:c r="F64" s="136"/>
      <x:c r="G64" s="136"/>
      <x:c r="H64" s="136"/>
      <x:c r="I64" s="136"/>
      <x:c r="J64" s="136"/>
      <x:c r="K64" s="136"/>
      <x:c r="L64" s="136"/>
      <x:c r="M64" s="136"/>
      <x:c r="N64" s="136"/>
      <x:c r="O64" s="136"/>
      <x:c r="P64" s="136"/>
      <x:c r="Q64" s="136"/>
      <x:c r="R64" s="136"/>
      <x:c r="S64" s="136"/>
      <x:c r="T64" s="136"/>
      <x:c r="U64" s="136"/>
      <x:c r="V64" s="136"/>
      <x:c r="W64" s="136"/>
      <x:c r="X64" s="136"/>
      <x:c r="Y64" s="136"/>
      <x:c r="Z64" s="136"/>
    </x:row>
    <x:row r="65">
      <x:c r="A65" s="136"/>
      <x:c r="B65" s="136"/>
      <x:c r="C65" s="136"/>
      <x:c r="D65" s="136"/>
      <x:c r="E65" s="136"/>
      <x:c r="F65" s="136"/>
      <x:c r="G65" s="136"/>
      <x:c r="H65" s="136"/>
      <x:c r="I65" s="136"/>
      <x:c r="J65" s="136"/>
      <x:c r="K65" s="136"/>
      <x:c r="L65" s="136"/>
      <x:c r="M65" s="136"/>
      <x:c r="N65" s="136"/>
      <x:c r="O65" s="136"/>
      <x:c r="P65" s="136"/>
      <x:c r="Q65" s="136"/>
      <x:c r="R65" s="136"/>
      <x:c r="S65" s="136"/>
      <x:c r="T65" s="136"/>
      <x:c r="U65" s="136"/>
      <x:c r="V65" s="136"/>
      <x:c r="W65" s="136"/>
      <x:c r="X65" s="136"/>
      <x:c r="Y65" s="136"/>
      <x:c r="Z65" s="136"/>
    </x:row>
    <x:row r="66">
      <x:c r="A66" s="136"/>
      <x:c r="B66" s="136"/>
      <x:c r="C66" s="136"/>
      <x:c r="D66" s="136"/>
      <x:c r="E66" s="136"/>
      <x:c r="F66" s="136"/>
      <x:c r="G66" s="136"/>
      <x:c r="H66" s="136"/>
      <x:c r="I66" s="136"/>
      <x:c r="J66" s="136"/>
      <x:c r="K66" s="136"/>
      <x:c r="L66" s="136"/>
      <x:c r="M66" s="136"/>
      <x:c r="N66" s="136"/>
      <x:c r="O66" s="136"/>
      <x:c r="P66" s="136"/>
      <x:c r="Q66" s="136"/>
      <x:c r="R66" s="136"/>
      <x:c r="S66" s="136"/>
      <x:c r="T66" s="136"/>
      <x:c r="U66" s="136"/>
      <x:c r="V66" s="136"/>
      <x:c r="W66" s="136"/>
      <x:c r="X66" s="136"/>
      <x:c r="Y66" s="136"/>
      <x:c r="Z66" s="136"/>
    </x:row>
    <x:row r="67">
      <x:c r="A67" s="136"/>
      <x:c r="B67" s="136"/>
      <x:c r="C67" s="136"/>
      <x:c r="D67" s="136"/>
      <x:c r="E67" s="136"/>
      <x:c r="F67" s="136"/>
      <x:c r="G67" s="136"/>
      <x:c r="H67" s="136"/>
      <x:c r="I67" s="136"/>
      <x:c r="J67" s="136"/>
      <x:c r="K67" s="136"/>
      <x:c r="L67" s="136"/>
      <x:c r="M67" s="136"/>
      <x:c r="N67" s="136"/>
      <x:c r="O67" s="136"/>
      <x:c r="P67" s="136"/>
      <x:c r="Q67" s="136"/>
      <x:c r="R67" s="136"/>
      <x:c r="S67" s="136"/>
      <x:c r="T67" s="136"/>
      <x:c r="U67" s="136"/>
      <x:c r="V67" s="136"/>
      <x:c r="W67" s="136"/>
      <x:c r="X67" s="136"/>
      <x:c r="Y67" s="136"/>
      <x:c r="Z67" s="136"/>
    </x:row>
    <x:row r="68">
      <x:c r="A68" s="136"/>
      <x:c r="B68" s="136"/>
      <x:c r="C68" s="136"/>
      <x:c r="D68" s="136"/>
      <x:c r="E68" s="136"/>
      <x:c r="F68" s="136"/>
      <x:c r="G68" s="136"/>
      <x:c r="H68" s="136"/>
      <x:c r="I68" s="136"/>
      <x:c r="J68" s="136"/>
      <x:c r="K68" s="136"/>
      <x:c r="L68" s="136"/>
      <x:c r="M68" s="136"/>
      <x:c r="N68" s="136"/>
      <x:c r="O68" s="136"/>
      <x:c r="P68" s="136"/>
      <x:c r="Q68" s="136"/>
      <x:c r="R68" s="136"/>
      <x:c r="S68" s="136"/>
      <x:c r="T68" s="136"/>
      <x:c r="U68" s="136"/>
      <x:c r="V68" s="136"/>
      <x:c r="W68" s="136"/>
      <x:c r="X68" s="136"/>
      <x:c r="Y68" s="136"/>
      <x:c r="Z68" s="136"/>
    </x:row>
    <x:row r="69">
      <x:c r="A69" s="136"/>
      <x:c r="B69" s="136"/>
      <x:c r="C69" s="136"/>
      <x:c r="D69" s="136"/>
      <x:c r="E69" s="136"/>
      <x:c r="F69" s="136"/>
      <x:c r="G69" s="136"/>
      <x:c r="H69" s="136"/>
      <x:c r="I69" s="136"/>
      <x:c r="J69" s="136"/>
      <x:c r="K69" s="136"/>
      <x:c r="L69" s="136"/>
      <x:c r="M69" s="136"/>
      <x:c r="N69" s="136"/>
      <x:c r="O69" s="136"/>
      <x:c r="P69" s="136"/>
      <x:c r="Q69" s="136"/>
      <x:c r="R69" s="136"/>
      <x:c r="S69" s="136"/>
      <x:c r="T69" s="136"/>
      <x:c r="U69" s="136"/>
      <x:c r="V69" s="136"/>
      <x:c r="W69" s="136"/>
      <x:c r="X69" s="136"/>
      <x:c r="Y69" s="136"/>
      <x:c r="Z69" s="136"/>
    </x:row>
    <x:row r="70">
      <x:c r="A70" s="136"/>
      <x:c r="B70" s="136"/>
      <x:c r="C70" s="136"/>
      <x:c r="D70" s="136"/>
      <x:c r="E70" s="136"/>
      <x:c r="F70" s="136"/>
      <x:c r="G70" s="136"/>
      <x:c r="H70" s="136"/>
      <x:c r="I70" s="136"/>
      <x:c r="J70" s="136"/>
      <x:c r="K70" s="136"/>
      <x:c r="L70" s="136"/>
      <x:c r="M70" s="136"/>
      <x:c r="N70" s="136"/>
      <x:c r="O70" s="136"/>
      <x:c r="P70" s="136"/>
      <x:c r="Q70" s="136"/>
      <x:c r="R70" s="136"/>
      <x:c r="S70" s="136"/>
      <x:c r="T70" s="136"/>
      <x:c r="U70" s="136"/>
      <x:c r="V70" s="136"/>
      <x:c r="W70" s="136"/>
      <x:c r="X70" s="136"/>
      <x:c r="Y70" s="136"/>
      <x:c r="Z70" s="136"/>
    </x:row>
    <x:row r="71">
      <x:c r="A71" s="136"/>
      <x:c r="B71" s="136"/>
      <x:c r="C71" s="136"/>
      <x:c r="D71" s="136"/>
      <x:c r="E71" s="136"/>
      <x:c r="F71" s="136"/>
      <x:c r="G71" s="136"/>
      <x:c r="H71" s="136"/>
      <x:c r="I71" s="136"/>
      <x:c r="J71" s="136"/>
      <x:c r="K71" s="136"/>
      <x:c r="L71" s="136"/>
      <x:c r="M71" s="136"/>
      <x:c r="N71" s="136"/>
      <x:c r="O71" s="136"/>
      <x:c r="P71" s="136"/>
      <x:c r="Q71" s="136"/>
      <x:c r="R71" s="136"/>
      <x:c r="S71" s="136"/>
      <x:c r="T71" s="136"/>
      <x:c r="U71" s="136"/>
      <x:c r="V71" s="136"/>
      <x:c r="W71" s="136"/>
      <x:c r="X71" s="136"/>
      <x:c r="Y71" s="136"/>
      <x:c r="Z71" s="136"/>
    </x:row>
    <x:row r="72">
      <x:c r="A72" s="136"/>
      <x:c r="B72" s="136"/>
      <x:c r="C72" s="136"/>
      <x:c r="D72" s="136"/>
      <x:c r="E72" s="136"/>
      <x:c r="F72" s="136"/>
      <x:c r="G72" s="136"/>
      <x:c r="H72" s="136"/>
      <x:c r="I72" s="136"/>
      <x:c r="J72" s="136"/>
      <x:c r="K72" s="136"/>
      <x:c r="L72" s="136"/>
      <x:c r="M72" s="136"/>
      <x:c r="N72" s="136"/>
      <x:c r="O72" s="136"/>
      <x:c r="P72" s="136"/>
      <x:c r="Q72" s="136"/>
      <x:c r="R72" s="136"/>
      <x:c r="S72" s="136"/>
      <x:c r="T72" s="136"/>
      <x:c r="U72" s="136"/>
      <x:c r="V72" s="136"/>
      <x:c r="W72" s="136"/>
      <x:c r="X72" s="136"/>
      <x:c r="Y72" s="136"/>
      <x:c r="Z72" s="136"/>
    </x:row>
    <x:row r="73">
      <x:c r="A73" s="136"/>
      <x:c r="B73" s="136"/>
      <x:c r="C73" s="136"/>
      <x:c r="D73" s="136"/>
      <x:c r="E73" s="136"/>
      <x:c r="F73" s="136"/>
      <x:c r="G73" s="136"/>
      <x:c r="H73" s="136"/>
      <x:c r="I73" s="136"/>
      <x:c r="J73" s="136"/>
      <x:c r="K73" s="136"/>
      <x:c r="L73" s="136"/>
      <x:c r="M73" s="136"/>
      <x:c r="N73" s="136"/>
      <x:c r="O73" s="136"/>
      <x:c r="P73" s="136"/>
      <x:c r="Q73" s="136"/>
      <x:c r="R73" s="136"/>
      <x:c r="S73" s="136"/>
      <x:c r="T73" s="136"/>
      <x:c r="U73" s="136"/>
      <x:c r="V73" s="136"/>
      <x:c r="W73" s="136"/>
      <x:c r="X73" s="136"/>
      <x:c r="Y73" s="136"/>
      <x:c r="Z73" s="136"/>
    </x:row>
    <x:row r="74">
      <x:c r="A74" s="136"/>
      <x:c r="B74" s="136"/>
      <x:c r="C74" s="136"/>
      <x:c r="D74" s="136"/>
      <x:c r="E74" s="136"/>
      <x:c r="F74" s="136"/>
      <x:c r="G74" s="136"/>
      <x:c r="H74" s="136"/>
      <x:c r="I74" s="136"/>
      <x:c r="J74" s="136"/>
      <x:c r="K74" s="136"/>
      <x:c r="L74" s="136"/>
      <x:c r="M74" s="136"/>
      <x:c r="N74" s="136"/>
      <x:c r="O74" s="136"/>
      <x:c r="P74" s="136"/>
      <x:c r="Q74" s="136"/>
      <x:c r="R74" s="136"/>
      <x:c r="S74" s="136"/>
      <x:c r="T74" s="136"/>
      <x:c r="U74" s="136"/>
      <x:c r="V74" s="136"/>
      <x:c r="W74" s="136"/>
      <x:c r="X74" s="136"/>
      <x:c r="Y74" s="136"/>
      <x:c r="Z74" s="136"/>
    </x:row>
    <x:row r="75">
      <x:c r="A75" s="136"/>
      <x:c r="B75" s="136"/>
      <x:c r="C75" s="136"/>
      <x:c r="D75" s="136"/>
      <x:c r="E75" s="136"/>
      <x:c r="F75" s="136"/>
      <x:c r="G75" s="136"/>
      <x:c r="H75" s="136"/>
      <x:c r="I75" s="136"/>
      <x:c r="J75" s="136"/>
      <x:c r="K75" s="136"/>
      <x:c r="L75" s="136"/>
      <x:c r="M75" s="136"/>
      <x:c r="N75" s="136"/>
      <x:c r="O75" s="136"/>
      <x:c r="P75" s="136"/>
      <x:c r="Q75" s="136"/>
      <x:c r="R75" s="136"/>
      <x:c r="S75" s="136"/>
      <x:c r="T75" s="136"/>
      <x:c r="U75" s="136"/>
      <x:c r="V75" s="136"/>
      <x:c r="W75" s="136"/>
      <x:c r="X75" s="136"/>
      <x:c r="Y75" s="136"/>
      <x:c r="Z75" s="136"/>
    </x:row>
    <x:row r="76">
      <x:c r="A76" s="136"/>
      <x:c r="B76" s="136"/>
      <x:c r="C76" s="136"/>
      <x:c r="D76" s="136"/>
      <x:c r="E76" s="136"/>
      <x:c r="F76" s="136"/>
      <x:c r="G76" s="136"/>
      <x:c r="H76" s="136"/>
      <x:c r="I76" s="136"/>
      <x:c r="J76" s="136"/>
      <x:c r="K76" s="136"/>
      <x:c r="L76" s="136"/>
      <x:c r="M76" s="136"/>
      <x:c r="N76" s="136"/>
      <x:c r="O76" s="136"/>
      <x:c r="P76" s="136"/>
      <x:c r="Q76" s="136"/>
      <x:c r="R76" s="136"/>
      <x:c r="S76" s="136"/>
      <x:c r="T76" s="136"/>
      <x:c r="U76" s="136"/>
      <x:c r="V76" s="136"/>
      <x:c r="W76" s="136"/>
      <x:c r="X76" s="136"/>
      <x:c r="Y76" s="136"/>
      <x:c r="Z76" s="136"/>
    </x:row>
    <x:row r="77">
      <x:c r="A77" s="136"/>
      <x:c r="B77" s="136"/>
      <x:c r="C77" s="136"/>
      <x:c r="D77" s="136"/>
      <x:c r="E77" s="136"/>
      <x:c r="F77" s="136"/>
      <x:c r="G77" s="136"/>
      <x:c r="H77" s="136"/>
      <x:c r="I77" s="136"/>
      <x:c r="J77" s="136"/>
      <x:c r="K77" s="136"/>
      <x:c r="L77" s="136"/>
      <x:c r="M77" s="136"/>
      <x:c r="N77" s="136"/>
      <x:c r="O77" s="136"/>
      <x:c r="P77" s="136"/>
      <x:c r="Q77" s="136"/>
      <x:c r="R77" s="136"/>
      <x:c r="S77" s="136"/>
      <x:c r="T77" s="136"/>
      <x:c r="U77" s="136"/>
      <x:c r="V77" s="136"/>
      <x:c r="W77" s="136"/>
      <x:c r="X77" s="136"/>
      <x:c r="Y77" s="136"/>
      <x:c r="Z77" s="136"/>
    </x:row>
    <x:row r="78">
      <x:c r="A78" s="136"/>
      <x:c r="B78" s="136"/>
      <x:c r="C78" s="136"/>
      <x:c r="D78" s="136"/>
      <x:c r="E78" s="136"/>
      <x:c r="F78" s="136"/>
      <x:c r="G78" s="136"/>
      <x:c r="H78" s="136"/>
      <x:c r="I78" s="136"/>
      <x:c r="J78" s="136"/>
      <x:c r="K78" s="136"/>
      <x:c r="L78" s="136"/>
      <x:c r="M78" s="136"/>
      <x:c r="N78" s="136"/>
      <x:c r="O78" s="136"/>
      <x:c r="P78" s="136"/>
      <x:c r="Q78" s="136"/>
      <x:c r="R78" s="136"/>
      <x:c r="S78" s="136"/>
      <x:c r="T78" s="136"/>
      <x:c r="U78" s="136"/>
      <x:c r="V78" s="136"/>
      <x:c r="W78" s="136"/>
      <x:c r="X78" s="136"/>
      <x:c r="Y78" s="136"/>
      <x:c r="Z78" s="136"/>
    </x:row>
    <x:row r="79">
      <x:c r="A79" s="136"/>
      <x:c r="B79" s="136"/>
      <x:c r="C79" s="136"/>
      <x:c r="D79" s="136"/>
      <x:c r="E79" s="136"/>
      <x:c r="F79" s="136"/>
      <x:c r="G79" s="136"/>
      <x:c r="H79" s="136"/>
      <x:c r="I79" s="136"/>
      <x:c r="J79" s="136"/>
      <x:c r="K79" s="136"/>
      <x:c r="L79" s="136"/>
      <x:c r="M79" s="136"/>
      <x:c r="N79" s="136"/>
      <x:c r="O79" s="136"/>
      <x:c r="P79" s="136"/>
      <x:c r="Q79" s="136"/>
      <x:c r="R79" s="136"/>
      <x:c r="S79" s="136"/>
      <x:c r="T79" s="136"/>
      <x:c r="U79" s="136"/>
      <x:c r="V79" s="136"/>
      <x:c r="W79" s="136"/>
      <x:c r="X79" s="136"/>
      <x:c r="Y79" s="136"/>
      <x:c r="Z79" s="136"/>
    </x:row>
    <x:row r="80">
      <x:c r="A80" s="136"/>
      <x:c r="B80" s="136"/>
      <x:c r="C80" s="136"/>
      <x:c r="D80" s="136"/>
      <x:c r="E80" s="136"/>
      <x:c r="F80" s="136"/>
      <x:c r="G80" s="136"/>
      <x:c r="H80" s="136"/>
      <x:c r="I80" s="136"/>
      <x:c r="J80" s="136"/>
      <x:c r="K80" s="136"/>
      <x:c r="L80" s="136"/>
      <x:c r="M80" s="136"/>
      <x:c r="N80" s="136"/>
      <x:c r="O80" s="136"/>
      <x:c r="P80" s="136"/>
      <x:c r="Q80" s="136"/>
      <x:c r="R80" s="136"/>
      <x:c r="S80" s="136"/>
      <x:c r="T80" s="136"/>
      <x:c r="U80" s="136"/>
      <x:c r="V80" s="136"/>
      <x:c r="W80" s="136"/>
      <x:c r="X80" s="136"/>
      <x:c r="Y80" s="136"/>
      <x:c r="Z80" s="136"/>
    </x:row>
    <x:row r="81">
      <x:c r="A81" s="136"/>
      <x:c r="B81" s="136"/>
      <x:c r="C81" s="136"/>
      <x:c r="D81" s="136"/>
      <x:c r="E81" s="136"/>
      <x:c r="F81" s="136"/>
      <x:c r="G81" s="136"/>
      <x:c r="H81" s="136"/>
      <x:c r="I81" s="136"/>
      <x:c r="J81" s="136"/>
      <x:c r="K81" s="136"/>
      <x:c r="L81" s="136"/>
      <x:c r="M81" s="136"/>
      <x:c r="N81" s="136"/>
      <x:c r="O81" s="136"/>
      <x:c r="P81" s="136"/>
      <x:c r="Q81" s="136"/>
      <x:c r="R81" s="136"/>
      <x:c r="S81" s="136"/>
      <x:c r="T81" s="136"/>
      <x:c r="U81" s="136"/>
      <x:c r="V81" s="136"/>
      <x:c r="W81" s="136"/>
      <x:c r="X81" s="136"/>
      <x:c r="Y81" s="136"/>
      <x:c r="Z81" s="136"/>
    </x:row>
    <x:row r="82">
      <x:c r="A82" s="136"/>
      <x:c r="B82" s="136"/>
      <x:c r="C82" s="136"/>
      <x:c r="D82" s="136"/>
      <x:c r="E82" s="136"/>
      <x:c r="F82" s="136"/>
      <x:c r="G82" s="136"/>
      <x:c r="H82" s="136"/>
      <x:c r="I82" s="136"/>
      <x:c r="J82" s="136"/>
      <x:c r="K82" s="136"/>
      <x:c r="L82" s="136"/>
      <x:c r="M82" s="136"/>
      <x:c r="N82" s="136"/>
      <x:c r="O82" s="136"/>
      <x:c r="P82" s="136"/>
      <x:c r="Q82" s="136"/>
      <x:c r="R82" s="136"/>
      <x:c r="S82" s="136"/>
      <x:c r="T82" s="136"/>
      <x:c r="U82" s="136"/>
      <x:c r="V82" s="136"/>
      <x:c r="W82" s="136"/>
      <x:c r="X82" s="136"/>
      <x:c r="Y82" s="136"/>
      <x:c r="Z82" s="136"/>
    </x:row>
    <x:row r="83">
      <x:c r="A83" s="136"/>
      <x:c r="B83" s="136"/>
      <x:c r="C83" s="136"/>
      <x:c r="D83" s="136"/>
      <x:c r="E83" s="136"/>
      <x:c r="F83" s="136"/>
      <x:c r="G83" s="136"/>
      <x:c r="H83" s="136"/>
      <x:c r="I83" s="136"/>
      <x:c r="J83" s="136"/>
      <x:c r="K83" s="136"/>
      <x:c r="L83" s="136"/>
      <x:c r="M83" s="136"/>
      <x:c r="N83" s="136"/>
      <x:c r="O83" s="136"/>
      <x:c r="P83" s="136"/>
      <x:c r="Q83" s="136"/>
      <x:c r="R83" s="136"/>
      <x:c r="S83" s="136"/>
      <x:c r="T83" s="136"/>
      <x:c r="U83" s="136"/>
      <x:c r="V83" s="136"/>
      <x:c r="W83" s="136"/>
      <x:c r="X83" s="136"/>
      <x:c r="Y83" s="136"/>
      <x:c r="Z83" s="136"/>
    </x:row>
    <x:row r="84">
      <x:c r="A84" s="136"/>
      <x:c r="B84" s="136"/>
      <x:c r="C84" s="136"/>
      <x:c r="D84" s="136"/>
      <x:c r="E84" s="136"/>
      <x:c r="F84" s="136"/>
      <x:c r="G84" s="136"/>
      <x:c r="H84" s="136"/>
      <x:c r="I84" s="136"/>
      <x:c r="J84" s="136"/>
      <x:c r="K84" s="136"/>
      <x:c r="L84" s="136"/>
      <x:c r="M84" s="136"/>
      <x:c r="N84" s="136"/>
      <x:c r="O84" s="136"/>
      <x:c r="P84" s="136"/>
      <x:c r="Q84" s="136"/>
      <x:c r="R84" s="136"/>
      <x:c r="S84" s="136"/>
      <x:c r="T84" s="136"/>
      <x:c r="U84" s="136"/>
      <x:c r="V84" s="136"/>
      <x:c r="W84" s="136"/>
      <x:c r="X84" s="136"/>
      <x:c r="Y84" s="136"/>
      <x:c r="Z84" s="136"/>
    </x:row>
    <x:row r="85">
      <x:c r="A85" s="136"/>
      <x:c r="B85" s="136"/>
      <x:c r="C85" s="136"/>
      <x:c r="D85" s="136"/>
      <x:c r="E85" s="136"/>
      <x:c r="F85" s="136"/>
      <x:c r="G85" s="136"/>
      <x:c r="H85" s="136"/>
      <x:c r="I85" s="136"/>
      <x:c r="J85" s="136"/>
      <x:c r="K85" s="136"/>
      <x:c r="L85" s="136"/>
      <x:c r="M85" s="136"/>
      <x:c r="N85" s="136"/>
      <x:c r="O85" s="136"/>
      <x:c r="P85" s="136"/>
      <x:c r="Q85" s="136"/>
      <x:c r="R85" s="136"/>
      <x:c r="S85" s="136"/>
      <x:c r="T85" s="136"/>
      <x:c r="U85" s="136"/>
      <x:c r="V85" s="136"/>
      <x:c r="W85" s="136"/>
      <x:c r="X85" s="136"/>
      <x:c r="Y85" s="136"/>
      <x:c r="Z85" s="136"/>
    </x:row>
    <x:row r="86">
      <x:c r="A86" s="136"/>
      <x:c r="B86" s="136"/>
      <x:c r="C86" s="136"/>
      <x:c r="D86" s="136"/>
      <x:c r="E86" s="136"/>
      <x:c r="F86" s="136"/>
      <x:c r="G86" s="136"/>
      <x:c r="H86" s="136"/>
      <x:c r="I86" s="136"/>
      <x:c r="J86" s="136"/>
      <x:c r="K86" s="136"/>
      <x:c r="L86" s="136"/>
      <x:c r="M86" s="136"/>
      <x:c r="N86" s="136"/>
      <x:c r="O86" s="136"/>
      <x:c r="P86" s="136"/>
      <x:c r="Q86" s="136"/>
      <x:c r="R86" s="136"/>
      <x:c r="S86" s="136"/>
      <x:c r="T86" s="136"/>
      <x:c r="U86" s="136"/>
      <x:c r="V86" s="136"/>
      <x:c r="W86" s="136"/>
      <x:c r="X86" s="136"/>
      <x:c r="Y86" s="136"/>
      <x:c r="Z86" s="136"/>
    </x:row>
    <x:row r="87">
      <x:c r="A87" s="136"/>
      <x:c r="B87" s="136"/>
      <x:c r="C87" s="136"/>
      <x:c r="D87" s="136"/>
      <x:c r="E87" s="136"/>
      <x:c r="F87" s="136"/>
      <x:c r="G87" s="136"/>
      <x:c r="H87" s="136"/>
      <x:c r="I87" s="136"/>
      <x:c r="J87" s="136"/>
      <x:c r="K87" s="136"/>
      <x:c r="L87" s="136"/>
      <x:c r="M87" s="136"/>
      <x:c r="N87" s="136"/>
      <x:c r="O87" s="136"/>
      <x:c r="P87" s="136"/>
      <x:c r="Q87" s="136"/>
      <x:c r="R87" s="136"/>
      <x:c r="S87" s="136"/>
      <x:c r="T87" s="136"/>
      <x:c r="U87" s="136"/>
      <x:c r="V87" s="136"/>
      <x:c r="W87" s="136"/>
      <x:c r="X87" s="136"/>
      <x:c r="Y87" s="136"/>
      <x:c r="Z87" s="136"/>
    </x:row>
    <x:row r="88">
      <x:c r="A88" s="136"/>
      <x:c r="B88" s="136"/>
      <x:c r="C88" s="136"/>
      <x:c r="D88" s="136"/>
      <x:c r="E88" s="136"/>
      <x:c r="F88" s="136"/>
      <x:c r="G88" s="136"/>
      <x:c r="H88" s="136"/>
      <x:c r="I88" s="136"/>
      <x:c r="J88" s="136"/>
      <x:c r="K88" s="136"/>
      <x:c r="L88" s="136"/>
      <x:c r="M88" s="136"/>
      <x:c r="N88" s="136"/>
      <x:c r="O88" s="136"/>
      <x:c r="P88" s="136"/>
      <x:c r="Q88" s="136"/>
      <x:c r="R88" s="136"/>
      <x:c r="S88" s="136"/>
      <x:c r="T88" s="136"/>
      <x:c r="U88" s="136"/>
      <x:c r="V88" s="136"/>
      <x:c r="W88" s="136"/>
      <x:c r="X88" s="136"/>
      <x:c r="Y88" s="136"/>
      <x:c r="Z88" s="136"/>
    </x:row>
    <x:row r="89">
      <x:c r="A89" s="136"/>
      <x:c r="B89" s="136"/>
      <x:c r="C89" s="136"/>
      <x:c r="D89" s="136"/>
      <x:c r="E89" s="136"/>
      <x:c r="F89" s="136"/>
      <x:c r="G89" s="136"/>
      <x:c r="H89" s="136"/>
      <x:c r="I89" s="136"/>
      <x:c r="J89" s="136"/>
      <x:c r="K89" s="136"/>
      <x:c r="L89" s="136"/>
      <x:c r="M89" s="136"/>
      <x:c r="N89" s="136"/>
      <x:c r="O89" s="136"/>
      <x:c r="P89" s="136"/>
      <x:c r="Q89" s="136"/>
      <x:c r="R89" s="136"/>
      <x:c r="S89" s="136"/>
      <x:c r="T89" s="136"/>
      <x:c r="U89" s="136"/>
      <x:c r="V89" s="136"/>
      <x:c r="W89" s="136"/>
      <x:c r="X89" s="136"/>
      <x:c r="Y89" s="136"/>
      <x:c r="Z89" s="136"/>
    </x:row>
    <x:row r="90">
      <x:c r="A90" s="136"/>
      <x:c r="B90" s="136"/>
      <x:c r="C90" s="136"/>
      <x:c r="D90" s="136"/>
      <x:c r="E90" s="136"/>
      <x:c r="F90" s="136"/>
      <x:c r="G90" s="136"/>
      <x:c r="H90" s="136"/>
      <x:c r="I90" s="136"/>
      <x:c r="J90" s="136"/>
      <x:c r="K90" s="136"/>
      <x:c r="L90" s="136"/>
      <x:c r="M90" s="136"/>
      <x:c r="N90" s="136"/>
      <x:c r="O90" s="136"/>
      <x:c r="P90" s="136"/>
      <x:c r="Q90" s="136"/>
      <x:c r="R90" s="136"/>
      <x:c r="S90" s="136"/>
      <x:c r="T90" s="136"/>
      <x:c r="U90" s="136"/>
      <x:c r="V90" s="136"/>
      <x:c r="W90" s="136"/>
      <x:c r="X90" s="136"/>
      <x:c r="Y90" s="136"/>
      <x:c r="Z90" s="136"/>
    </x:row>
    <x:row r="91">
      <x:c r="A91" s="136"/>
      <x:c r="B91" s="136"/>
      <x:c r="C91" s="136"/>
      <x:c r="D91" s="136"/>
      <x:c r="E91" s="136"/>
      <x:c r="F91" s="136"/>
      <x:c r="G91" s="136"/>
      <x:c r="H91" s="136"/>
      <x:c r="I91" s="136"/>
      <x:c r="J91" s="136"/>
      <x:c r="K91" s="136"/>
      <x:c r="L91" s="136"/>
      <x:c r="M91" s="136"/>
      <x:c r="N91" s="136"/>
      <x:c r="O91" s="136"/>
      <x:c r="P91" s="136"/>
      <x:c r="Q91" s="136"/>
      <x:c r="R91" s="136"/>
      <x:c r="S91" s="136"/>
      <x:c r="T91" s="136"/>
      <x:c r="U91" s="136"/>
      <x:c r="V91" s="136"/>
      <x:c r="W91" s="136"/>
      <x:c r="X91" s="136"/>
      <x:c r="Y91" s="136"/>
      <x:c r="Z91" s="136"/>
    </x:row>
    <x:row r="92">
      <x:c r="A92" s="136"/>
      <x:c r="B92" s="136"/>
      <x:c r="C92" s="136"/>
      <x:c r="D92" s="136"/>
      <x:c r="E92" s="136"/>
      <x:c r="F92" s="136"/>
      <x:c r="G92" s="136"/>
      <x:c r="H92" s="136"/>
      <x:c r="I92" s="136"/>
      <x:c r="J92" s="136"/>
      <x:c r="K92" s="136"/>
      <x:c r="L92" s="136"/>
      <x:c r="M92" s="136"/>
      <x:c r="N92" s="136"/>
      <x:c r="O92" s="136"/>
      <x:c r="P92" s="136"/>
      <x:c r="Q92" s="136"/>
      <x:c r="R92" s="136"/>
      <x:c r="S92" s="136"/>
      <x:c r="T92" s="136"/>
      <x:c r="U92" s="136"/>
      <x:c r="V92" s="136"/>
      <x:c r="W92" s="136"/>
      <x:c r="X92" s="136"/>
      <x:c r="Y92" s="136"/>
      <x:c r="Z92" s="136"/>
    </x:row>
    <x:row r="93">
      <x:c r="A93" s="136"/>
      <x:c r="B93" s="136"/>
      <x:c r="C93" s="136"/>
      <x:c r="D93" s="136"/>
      <x:c r="E93" s="136"/>
      <x:c r="F93" s="136"/>
      <x:c r="G93" s="136"/>
      <x:c r="H93" s="136"/>
      <x:c r="I93" s="136"/>
      <x:c r="J93" s="136"/>
      <x:c r="K93" s="136"/>
      <x:c r="L93" s="136"/>
      <x:c r="M93" s="136"/>
      <x:c r="N93" s="136"/>
      <x:c r="O93" s="136"/>
      <x:c r="P93" s="136"/>
      <x:c r="Q93" s="136"/>
      <x:c r="R93" s="136"/>
      <x:c r="S93" s="136"/>
      <x:c r="T93" s="136"/>
      <x:c r="U93" s="136"/>
      <x:c r="V93" s="136"/>
      <x:c r="W93" s="136"/>
      <x:c r="X93" s="136"/>
      <x:c r="Y93" s="136"/>
      <x:c r="Z93" s="136"/>
    </x:row>
    <x:row r="94">
      <x:c r="A94" s="136"/>
      <x:c r="B94" s="136"/>
      <x:c r="C94" s="136"/>
      <x:c r="D94" s="136"/>
      <x:c r="E94" s="136"/>
      <x:c r="F94" s="136"/>
      <x:c r="G94" s="136"/>
      <x:c r="H94" s="136"/>
      <x:c r="I94" s="136"/>
      <x:c r="J94" s="136"/>
      <x:c r="K94" s="136"/>
      <x:c r="L94" s="136"/>
      <x:c r="M94" s="136"/>
      <x:c r="N94" s="136"/>
      <x:c r="O94" s="136"/>
      <x:c r="P94" s="136"/>
      <x:c r="Q94" s="136"/>
      <x:c r="R94" s="136"/>
      <x:c r="S94" s="136"/>
      <x:c r="T94" s="136"/>
      <x:c r="U94" s="136"/>
      <x:c r="V94" s="136"/>
      <x:c r="W94" s="136"/>
      <x:c r="X94" s="136"/>
      <x:c r="Y94" s="136"/>
      <x:c r="Z94" s="136"/>
    </x:row>
    <x:row r="95">
      <x:c r="A95" s="136"/>
      <x:c r="B95" s="136"/>
      <x:c r="C95" s="136"/>
      <x:c r="D95" s="136"/>
      <x:c r="E95" s="136"/>
      <x:c r="F95" s="136"/>
      <x:c r="G95" s="136"/>
      <x:c r="H95" s="136"/>
      <x:c r="I95" s="136"/>
      <x:c r="J95" s="136"/>
      <x:c r="K95" s="136"/>
      <x:c r="L95" s="136"/>
      <x:c r="M95" s="136"/>
      <x:c r="N95" s="136"/>
      <x:c r="O95" s="136"/>
      <x:c r="P95" s="136"/>
      <x:c r="Q95" s="136"/>
      <x:c r="R95" s="136"/>
      <x:c r="S95" s="136"/>
      <x:c r="T95" s="136"/>
      <x:c r="U95" s="136"/>
      <x:c r="V95" s="136"/>
      <x:c r="W95" s="136"/>
      <x:c r="X95" s="136"/>
      <x:c r="Y95" s="136"/>
      <x:c r="Z95" s="136"/>
    </x:row>
    <x:row r="96">
      <x:c r="A96" s="136"/>
      <x:c r="B96" s="136"/>
      <x:c r="C96" s="136"/>
      <x:c r="D96" s="136"/>
      <x:c r="E96" s="136"/>
      <x:c r="F96" s="136"/>
      <x:c r="G96" s="136"/>
      <x:c r="H96" s="136"/>
      <x:c r="I96" s="136"/>
      <x:c r="J96" s="136"/>
      <x:c r="K96" s="136"/>
      <x:c r="L96" s="136"/>
      <x:c r="M96" s="136"/>
      <x:c r="N96" s="136"/>
      <x:c r="O96" s="136"/>
      <x:c r="P96" s="136"/>
      <x:c r="Q96" s="136"/>
      <x:c r="R96" s="136"/>
      <x:c r="S96" s="136"/>
      <x:c r="T96" s="136"/>
      <x:c r="U96" s="136"/>
      <x:c r="V96" s="136"/>
      <x:c r="W96" s="136"/>
      <x:c r="X96" s="136"/>
      <x:c r="Y96" s="136"/>
      <x:c r="Z96" s="136"/>
    </x:row>
    <x:row r="97">
      <x:c r="A97" s="136"/>
      <x:c r="B97" s="136"/>
      <x:c r="C97" s="136"/>
      <x:c r="D97" s="136"/>
      <x:c r="E97" s="136"/>
      <x:c r="F97" s="136"/>
      <x:c r="G97" s="136"/>
      <x:c r="H97" s="136"/>
      <x:c r="I97" s="136"/>
      <x:c r="J97" s="136"/>
      <x:c r="K97" s="136"/>
      <x:c r="L97" s="136"/>
      <x:c r="M97" s="136"/>
      <x:c r="N97" s="136"/>
      <x:c r="O97" s="136"/>
      <x:c r="P97" s="136"/>
      <x:c r="Q97" s="136"/>
      <x:c r="R97" s="136"/>
      <x:c r="S97" s="136"/>
      <x:c r="T97" s="136"/>
      <x:c r="U97" s="136"/>
      <x:c r="V97" s="136"/>
      <x:c r="W97" s="136"/>
      <x:c r="X97" s="136"/>
      <x:c r="Y97" s="136"/>
      <x:c r="Z97" s="136"/>
    </x:row>
    <x:row r="98">
      <x:c r="A98" s="136"/>
      <x:c r="B98" s="136"/>
      <x:c r="C98" s="136"/>
      <x:c r="D98" s="136"/>
      <x:c r="E98" s="136"/>
      <x:c r="F98" s="136"/>
      <x:c r="G98" s="136"/>
      <x:c r="H98" s="136"/>
      <x:c r="I98" s="136"/>
      <x:c r="J98" s="136"/>
      <x:c r="K98" s="136"/>
      <x:c r="L98" s="136"/>
      <x:c r="M98" s="136"/>
      <x:c r="N98" s="136"/>
      <x:c r="O98" s="136"/>
      <x:c r="P98" s="136"/>
      <x:c r="Q98" s="136"/>
      <x:c r="R98" s="136"/>
      <x:c r="S98" s="136"/>
      <x:c r="T98" s="136"/>
      <x:c r="U98" s="136"/>
      <x:c r="V98" s="136"/>
      <x:c r="W98" s="136"/>
      <x:c r="X98" s="136"/>
      <x:c r="Y98" s="136"/>
      <x:c r="Z98" s="136"/>
    </x:row>
    <x:row r="99">
      <x:c r="A99" s="136"/>
      <x:c r="B99" s="136"/>
      <x:c r="C99" s="136"/>
      <x:c r="D99" s="136"/>
      <x:c r="E99" s="136"/>
      <x:c r="F99" s="136"/>
      <x:c r="G99" s="136"/>
      <x:c r="H99" s="136"/>
      <x:c r="I99" s="136"/>
      <x:c r="J99" s="136"/>
      <x:c r="K99" s="136"/>
      <x:c r="L99" s="136"/>
      <x:c r="M99" s="136"/>
      <x:c r="N99" s="136"/>
      <x:c r="O99" s="136"/>
      <x:c r="P99" s="136"/>
      <x:c r="Q99" s="136"/>
      <x:c r="R99" s="136"/>
      <x:c r="S99" s="136"/>
      <x:c r="T99" s="136"/>
      <x:c r="U99" s="136"/>
      <x:c r="V99" s="136"/>
      <x:c r="W99" s="136"/>
      <x:c r="X99" s="136"/>
      <x:c r="Y99" s="136"/>
      <x:c r="Z99" s="136"/>
    </x:row>
    <x:row r="100">
      <x:c r="A100" s="136"/>
      <x:c r="B100" s="136"/>
      <x:c r="C100" s="136"/>
      <x:c r="D100" s="136"/>
      <x:c r="E100" s="136"/>
      <x:c r="F100" s="136"/>
      <x:c r="G100" s="136"/>
      <x:c r="H100" s="136"/>
      <x:c r="I100" s="136"/>
      <x:c r="J100" s="136"/>
      <x:c r="K100" s="136"/>
      <x:c r="L100" s="136"/>
      <x:c r="M100" s="136"/>
      <x:c r="N100" s="136"/>
      <x:c r="O100" s="136"/>
      <x:c r="P100" s="136"/>
      <x:c r="Q100" s="136"/>
      <x:c r="R100" s="136"/>
      <x:c r="S100" s="136"/>
      <x:c r="T100" s="136"/>
      <x:c r="U100" s="136"/>
      <x:c r="V100" s="136"/>
      <x:c r="W100" s="136"/>
      <x:c r="X100" s="136"/>
      <x:c r="Y100" s="136"/>
      <x:c r="Z100" s="136"/>
    </x:row>
  </x:sheetData>
  <x:mergeCells>
    <x:mergeCell ref="A1:E1"/>
    <x:mergeCell ref="A10:E10"/>
    <x:mergeCell ref="A16:E16"/>
    <x:mergeCell ref="A24:E24"/>
    <x:mergeCell ref="A30:E30"/>
    <x:mergeCell ref="A36:E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3" hidden="0" customWidth="1"/>
    <x:col min="7" max="7" width="34" hidden="0" customWidth="1"/>
    <x:col min="8" max="8" width="13" hidden="0" customWidth="1"/>
    <x:col min="9" max="9" width="50" hidden="0" customWidth="1"/>
    <x:col min="10" max="10" width="52" hidden="0" customWidth="1"/>
    <x:col min="11" max="11" width="14" hidden="0" customWidth="1"/>
  </x:cols>
  <x:sheetData>
    <x:row r="1" ht="26" customHeight="1">
      <x:c r="A1" s="195" t="str">
        <x:v>Braskem Naphtha Arrival Monitor — 2026 Backfill</x:v>
      </x:c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</x:row>
    <x:row r="2">
      <x:c r="A2" s="198" t="str">
        <x:v>Scope: Jan–Aug 2026. Vessel-level naphtha tonnes are shown only where independently verified; missing public vessel history is left blank rather than treated as zero.</x:v>
      </x:c>
      <x:c r="B2" s="198"/>
      <x:c r="C2" s="198"/>
      <x:c r="D2" s="198"/>
      <x:c r="E2" s="198"/>
      <x:c r="F2" s="198"/>
      <x:c r="G2" s="198"/>
      <x:c r="H2" s="198"/>
      <x:c r="I2" s="198"/>
      <x:c r="J2" s="198"/>
      <x:c r="K2" s="198"/>
    </x:row>
    <x:row r="4">
      <x:c r="A4" s="203" t="str">
        <x:v>Month</x:v>
      </x:c>
      <x:c r="B4" s="203" t="str">
        <x:v>Verified Naphtha Completed (kt)</x:v>
      </x:c>
      <x:c r="C4" s="203" t="str">
        <x:v>Future LR1 (kt)</x:v>
      </x:c>
      <x:c r="D4" s="203" t="str">
        <x:v>Third-party (kt)</x:v>
      </x:c>
      <x:c r="E4" s="203" t="str">
        <x:v>Scheduled / Unconfirmed (kt)</x:v>
      </x:c>
      <x:c r="F4" s="203" t="str">
        <x:v>Official Aratu Total Cargo (kt; all products)</x:v>
      </x:c>
      <x:c r="G4" s="203" t="str">
        <x:v>Vessel-Level Coverage</x:v>
      </x:c>
      <x:c r="H4" s="203" t="str">
        <x:v>Confidence</x:v>
      </x:c>
      <x:c r="I4" s="203" t="str">
        <x:v>Key Evidence / Note</x:v>
      </x:c>
      <x:c r="J4" s="203" t="str">
        <x:v>Source URL</x:v>
      </x:c>
      <x:c r="K4" s="203" t="str">
        <x:v>Source As-of</x:v>
      </x:c>
    </x:row>
    <x:row r="5">
      <x:c r="A5" s="205" t="n">
        <x:v>46023</x:v>
      </x:c>
      <x:c r="B5" s="206"/>
      <x:c r="C5" s="206"/>
      <x:c r="D5" s="206"/>
      <x:c r="E5" s="206"/>
      <x:c r="F5" s="206"/>
      <x:c r="G5" s="86" t="str">
        <x:v>Public vessel-level naphtha archive not recovered</x:v>
      </x:c>
      <x:c r="H5" s="86" t="str">
        <x:v>Incomplete</x:v>
      </x:c>
      <x:c r="I5" s="86" t="str">
        <x:v>Do not interpret blanks as zero imports.</x:v>
      </x:c>
      <x:c r="J5" s="207" t="str"/>
      <x:c r="K5" s="104" t="n">
        <x:v>46260</x:v>
      </x:c>
    </x:row>
    <x:row r="6">
      <x:c r="A6" s="205" t="n">
        <x:v>46054</x:v>
      </x:c>
      <x:c r="B6" s="206"/>
      <x:c r="C6" s="206"/>
      <x:c r="D6" s="206"/>
      <x:c r="E6" s="206"/>
      <x:c r="F6" s="206" t="n">
        <x:v>555</x:v>
      </x:c>
      <x:c r="G6" s="86" t="str">
        <x:v>Public vessel-level naphtha archive not recovered</x:v>
      </x:c>
      <x:c r="H6" s="86" t="str">
        <x:v>Partial</x:v>
      </x:c>
      <x:c r="I6" s="86" t="str">
        <x:v>CODEBA/Ministry reporting: Aratu moved 555kt total cargo in Feb-26; not naphtha-specific.</x:v>
      </x:c>
      <x:c r="J6" s="207" t="str">
        <x:v>https://www.codeba.gov.br/eficiente/sites/portalcodeba/pt-br/site.php?pub=10382&amp;secao=noticias_gerais</x:v>
      </x:c>
      <x:c r="K6" s="104" t="n">
        <x:v>46260</x:v>
      </x:c>
    </x:row>
    <x:row r="7">
      <x:c r="A7" s="205" t="n">
        <x:v>46082</x:v>
      </x:c>
      <x:c r="B7" s="206"/>
      <x:c r="C7" s="206"/>
      <x:c r="D7" s="206"/>
      <x:c r="E7" s="206"/>
      <x:c r="F7" s="206" t="n">
        <x:v>681.65</x:v>
      </x:c>
      <x:c r="G7" s="86" t="str">
        <x:v>Public vessel-level naphtha archive not recovered</x:v>
      </x:c>
      <x:c r="H7" s="86" t="str">
        <x:v>Partial</x:v>
      </x:c>
      <x:c r="I7" s="86" t="str">
        <x:v>Published CODEBA-linked reporting: Aratu moved 681.65kt total cargo in Mar-26; not naphtha-specific.</x:v>
      </x:c>
      <x:c r="J7" s="207" t="str">
        <x:v>https://www.abtra.org.br/noticias/portos-da-bahia-ampliam-movimentacao-em-quase-28-em-marco/</x:v>
      </x:c>
      <x:c r="K7" s="104" t="n">
        <x:v>46260</x:v>
      </x:c>
    </x:row>
    <x:row r="8">
      <x:c r="A8" s="205" t="n">
        <x:v>46113</x:v>
      </x:c>
      <x:c r="B8" s="206"/>
      <x:c r="C8" s="206"/>
      <x:c r="D8" s="206"/>
      <x:c r="E8" s="206"/>
      <x:c r="F8" s="206"/>
      <x:c r="G8" s="86" t="str">
        <x:v>Public vessel-level naphtha archive not recovered</x:v>
      </x:c>
      <x:c r="H8" s="86" t="str">
        <x:v>Incomplete</x:v>
      </x:c>
      <x:c r="I8" s="86" t="str">
        <x:v>Do not interpret blanks as zero imports.</x:v>
      </x:c>
      <x:c r="J8" s="207" t="str"/>
      <x:c r="K8" s="104" t="n">
        <x:v>46260</x:v>
      </x:c>
    </x:row>
    <x:row r="9">
      <x:c r="A9" s="205" t="n">
        <x:v>46143</x:v>
      </x:c>
      <x:c r="B9" s="206"/>
      <x:c r="C9" s="206"/>
      <x:c r="D9" s="206"/>
      <x:c r="E9" s="206"/>
      <x:c r="F9" s="206"/>
      <x:c r="G9" s="86" t="str">
        <x:v>Public vessel-level naphtha archive not recovered</x:v>
      </x:c>
      <x:c r="H9" s="86" t="str">
        <x:v>Partial</x:v>
      </x:c>
      <x:c r="I9" s="86" t="str">
        <x:v>Jan–May 2026 Aratu total cargo was 3,008.443kt; monthly May total not separately sourced in this backfill.</x:v>
      </x:c>
      <x:c r="J9" s="207" t="str">
        <x:v>https://jornalgrandebahia.com.br/2026/08/porto-de-aratu-abre-nova-rota-de-graos-no-atu-18-operacao-iniciada-em-marco-de-2026-mira-3-milhoes-de-toneladas-em-2026/</x:v>
      </x:c>
      <x:c r="K9" s="104" t="n">
        <x:v>46260</x:v>
      </x:c>
    </x:row>
    <x:row r="10">
      <x:c r="A10" s="205" t="n">
        <x:v>46174</x:v>
      </x:c>
      <x:c r="B10" s="206"/>
      <x:c r="C10" s="206"/>
      <x:c r="D10" s="206"/>
      <x:c r="E10" s="206"/>
      <x:c r="F10" s="206" t="n">
        <x:v>692.2</x:v>
      </x:c>
      <x:c r="G10" s="86" t="str">
        <x:v>Public vessel-level naphtha archive not recovered</x:v>
      </x:c>
      <x:c r="H10" s="86" t="str">
        <x:v>Partial</x:v>
      </x:c>
      <x:c r="I10" s="86" t="str">
        <x:v>Official CODEBA H1 release: Aratu moved 692.2kt total cargo in Jun-26.</x:v>
      </x:c>
      <x:c r="J10" s="207" t="str">
        <x:v>https://codeba.gov.br/eficiente/sites/portalcodeba/pt-br/site.php?pub=10534&amp;secao=noticias_gerais</x:v>
      </x:c>
      <x:c r="K10" s="104" t="n">
        <x:v>46260</x:v>
      </x:c>
    </x:row>
    <x:row r="11">
      <x:c r="A11" s="205" t="n">
        <x:v>46204</x:v>
      </x:c>
      <x:c r="B11" s="206"/>
      <x:c r="C11" s="206"/>
      <x:c r="D11" s="206"/>
      <x:c r="E11" s="206"/>
      <x:c r="F11" s="206"/>
      <x:c r="G11" s="86" t="str">
        <x:v>Public vessel-level naphtha archive not recovered</x:v>
      </x:c>
      <x:c r="H11" s="86" t="str">
        <x:v>Incomplete</x:v>
      </x:c>
      <x:c r="I11" s="86" t="str">
        <x:v>Do not interpret blanks as zero imports.</x:v>
      </x:c>
      <x:c r="J11" s="207" t="str"/>
      <x:c r="K11" s="104" t="n">
        <x:v>46260</x:v>
      </x:c>
    </x:row>
    <x:row r="12">
      <x:c r="A12" s="205" t="n">
        <x:v>46235</x:v>
      </x:c>
      <x:c r="B12" s="206" t="n">
        <x:v>204.055253</x:v>
      </x:c>
      <x:c r="C12" s="206" t="n">
        <x:v>55.245144</x:v>
      </x:c>
      <x:c r="D12" s="206" t="n">
        <x:v>148.810109</x:v>
      </x:c>
      <x:c r="E12" s="206"/>
      <x:c r="F12" s="206"/>
      <x:c r="G12" s="86" t="str">
        <x:v>Verified vessel-level Aratu capture</x:v>
      </x:c>
      <x:c r="H12" s="86" t="str">
        <x:v>High</x:v>
      </x:c>
      <x:c r="I12" s="86" t="str">
        <x:v>204.055kt retained completed capture. Prior schedules now unresolved; not current forward tonnage.</x:v>
      </x:c>
      <x:c r="J12" s="207" t="str">
        <x:v>https://codeba.gov.br/eficiente/sites/portalcodeba/pt-br/porto_aratu.php?secao=tportos_aratu</x:v>
      </x:c>
      <x:c r="K12" s="104" t="n">
        <x:v>46260</x:v>
      </x:c>
    </x:row>
    <x:row r="14">
      <x:c r="A14" s="209" t="str">
        <x:v>Official 2026 Port Context (not naphtha-specific)</x:v>
      </x:c>
      <x:c r="B14" s="209"/>
      <x:c r="C14" s="209"/>
      <x:c r="D14" s="209"/>
      <x:c r="E14" s="209"/>
      <x:c r="F14" s="209"/>
      <x:c r="G14" s="209"/>
      <x:c r="H14" s="209"/>
      <x:c r="I14" s="209"/>
      <x:c r="J14" s="209"/>
      <x:c r="K14" s="209"/>
    </x:row>
    <x:row r="15">
      <x:c r="A15" s="203" t="str">
        <x:v>Metric</x:v>
      </x:c>
      <x:c r="B15" s="203" t="str">
        <x:v>Value</x:v>
      </x:c>
      <x:c r="C15" s="203" t="str">
        <x:v>Why it matters</x:v>
      </x:c>
      <x:c r="D15" s="203" t="str">
        <x:v>Source URL</x:v>
      </x:c>
    </x:row>
    <x:row r="16">
      <x:c r="A16" s="86" t="str">
        <x:v>Aratu H1 2026 total cargo (kt)</x:v>
      </x:c>
      <x:c r="B16" s="105" t="n">
        <x:v>3700</x:v>
      </x:c>
      <x:c r="C16" s="86" t="str">
        <x:v>Confirms very high overall throughput; cannot be used as naphtha volume.</x:v>
      </x:c>
      <x:c r="D16" s="207" t="str">
        <x:v>https://codeba.gov.br/eficiente/sites/portalcodeba/pt-br/site.php?pub=10534&amp;secao=noticias_gerais</x:v>
      </x:c>
    </x:row>
    <x:row r="17">
      <x:c r="A17" s="86" t="str">
        <x:v>Aratu H1 2026 imports YoY</x:v>
      </x:c>
      <x:c r="B17" s="210" t="n">
        <x:v>0.1299</x:v>
      </x:c>
      <x:c r="C17" s="86" t="str">
        <x:v>Imports were up 12.99% YoY across all cargo categories.</x:v>
      </x:c>
      <x:c r="D17" s="207" t="str">
        <x:v>https://codeba.gov.br/eficiente/sites/portalcodeba/pt-br/site.php?pub=10534&amp;secao=noticias_gerais</x:v>
      </x:c>
    </x:row>
    <x:row r="18">
      <x:c r="A18" s="86" t="str">
        <x:v>Aratu Jan–May 2026 total cargo (kt)</x:v>
      </x:c>
      <x:c r="B18" s="105" t="n">
        <x:v>3008.443</x:v>
      </x:c>
      <x:c r="C18" s="86" t="str">
        <x:v>Cross-check on the official/press-reported port throughput trajectory.</x:v>
      </x:c>
      <x:c r="D18" s="207" t="str">
        <x:v>https://jornalgrandebahia.com.br/2026/08/porto-de-aratu-abre-nova-rota-de-graos-no-atu-18-operacao-iniciada-em-marco-de-2026-mira-3-milhoes-de-toneladas-em-2026/</x:v>
      </x:c>
    </x:row>
    <x:row r="20">
      <x:c r="A20" s="209" t="str">
        <x:v>What is still missing</x:v>
      </x:c>
      <x:c r="B20" s="209"/>
      <x:c r="C20" s="209"/>
      <x:c r="D20" s="209"/>
      <x:c r="E20" s="209"/>
      <x:c r="F20" s="209"/>
      <x:c r="G20" s="209"/>
      <x:c r="H20" s="209"/>
      <x:c r="I20" s="209"/>
      <x:c r="J20" s="209"/>
      <x:c r="K20" s="209"/>
    </x:row>
    <x:row r="21">
      <x:c r="A21" s="214" t="str">
        <x:v>Vessel-level history remains incomplete. Braskem-specific naphtha customs imports for January–August are now available in Customs Imports. Customs clearances are not a vessel-arrival backfill.</x:v>
      </x:c>
      <x:c r="B21" s="214"/>
      <x:c r="C21" s="214"/>
      <x:c r="D21" s="214"/>
      <x:c r="E21" s="214"/>
      <x:c r="F21" s="214"/>
      <x:c r="G21" s="214"/>
      <x:c r="H21" s="214"/>
      <x:c r="I21" s="214"/>
      <x:c r="J21" s="214"/>
      <x:c r="K21" s="214"/>
    </x:row>
    <x:row r="22">
      <x:c r="A22" s="214"/>
      <x:c r="B22" s="214"/>
      <x:c r="C22" s="214"/>
      <x:c r="D22" s="214"/>
      <x:c r="E22" s="214"/>
      <x:c r="F22" s="214"/>
      <x:c r="G22" s="214"/>
      <x:c r="H22" s="214"/>
      <x:c r="I22" s="214"/>
      <x:c r="J22" s="214"/>
      <x:c r="K22" s="214"/>
    </x:row>
    <x:row r="23">
      <x:c r="A23" s="214"/>
      <x:c r="B23" s="214"/>
      <x:c r="C23" s="214"/>
      <x:c r="D23" s="214"/>
      <x:c r="E23" s="214"/>
      <x:c r="F23" s="214"/>
      <x:c r="G23" s="214"/>
      <x:c r="H23" s="214"/>
      <x:c r="I23" s="214"/>
      <x:c r="J23" s="214"/>
      <x:c r="K23" s="214"/>
    </x:row>
  </x:sheetData>
  <x:mergeCells>
    <x:mergeCell ref="A1:K1"/>
    <x:mergeCell ref="A2:K2"/>
    <x:mergeCell ref="A14:K14"/>
    <x:mergeCell ref="A20:K20"/>
    <x:mergeCell ref="A21:K23"/>
  </x:mergeCells>
  <x:conditionalFormatting sqref="H5:H12">
    <x:cfRule type="expression" dxfId="6" priority="1">
      <x:formula>$H5="High"</x:formula>
    </x:cfRule>
    <x:cfRule type="expression" dxfId="7" priority="2">
      <x:formula>$H5="Partial"</x:formula>
    </x:cfRule>
    <x:cfRule type="expression" dxfId="8" priority="3">
      <x:formula>$H5="Incomplete"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55" hidden="0" customWidth="1"/>
    <x:col min="4" max="4" width="24" hidden="0" customWidth="1"/>
    <x:col min="5" max="5" width="22" hidden="0" customWidth="1"/>
    <x:col min="6" max="6" width="14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52" hidden="0" customWidth="1"/>
    <x:col min="14" max="14" width="48" hidden="0" customWidth="1"/>
  </x:cols>
  <x:sheetData>
    <x:row r="1" ht="26" customHeight="1">
      <x:c r="A1" s="227" t="str">
        <x:v>Braskem Naphtha Monitor — 2026 Reconstruction</x:v>
      </x:c>
      <x:c r="B1" s="227"/>
      <x:c r="C1" s="227"/>
      <x:c r="D1" s="227"/>
      <x:c r="E1" s="227"/>
      <x:c r="F1" s="227"/>
      <x:c r="G1" s="227"/>
      <x:c r="H1" s="227"/>
      <x:c r="I1" s="227"/>
      <x:c r="J1" s="227"/>
      <x:c r="K1" s="227"/>
      <x:c r="L1" s="227"/>
      <x:c r="M1" s="227"/>
      <x:c r="N1" s="227"/>
    </x:row>
    <x:row r="2">
      <x:c r="A2" s="230" t="str">
        <x:v>National ANP naphtha imports are the official control series; Braskem-specific August Aratu receipts are shown separately. Do not equate national imports with Braskem receipts or gross Aratu receipts with imports until importer/origin is verified.</x:v>
      </x:c>
      <x:c r="B2" s="230"/>
      <x:c r="C2" s="230"/>
      <x:c r="D2" s="230"/>
      <x:c r="E2" s="230"/>
      <x:c r="F2" s="230"/>
      <x:c r="G2" s="230"/>
      <x:c r="H2" s="230"/>
      <x:c r="I2" s="230"/>
      <x:c r="J2" s="230"/>
      <x:c r="K2" s="230"/>
      <x:c r="L2" s="230"/>
      <x:c r="M2" s="230"/>
      <x:c r="N2" s="230"/>
    </x:row>
    <x:row r="4">
      <x:c r="A4" s="233" t="str">
        <x:v>Key Assumptions &amp; Current Read</x:v>
      </x:c>
      <x:c r="B4" s="233"/>
      <x:c r="C4" s="233"/>
      <x:c r="D4" s="233"/>
      <x:c r="E4" s="233"/>
      <x:c r="F4" s="233"/>
      <x:c r="G4" s="233"/>
      <x:c r="H4" s="233"/>
      <x:c r="I4" s="233"/>
      <x:c r="J4" s="233"/>
      <x:c r="K4" s="233"/>
      <x:c r="L4" s="233"/>
      <x:c r="M4" s="233"/>
      <x:c r="N4" s="233"/>
    </x:row>
    <x:row r="5">
      <x:c r="A5" s="238" t="str">
        <x:v>Metric</x:v>
      </x:c>
      <x:c r="B5" s="238" t="str">
        <x:v>Value</x:v>
      </x:c>
      <x:c r="C5" s="238" t="str">
        <x:v>Units / Definition</x:v>
      </x:c>
      <x:c r="D5" s="238" t="str">
        <x:v>Source / Comment</x:v>
      </x:c>
    </x:row>
    <x:row r="6">
      <x:c r="A6" t="str">
        <x:v>Naphtha density assumption</x:v>
      </x:c>
      <x:c r="B6" s="239" t="n">
        <x:v>0.73</x:v>
      </x:c>
      <x:c r="C6" t="str">
        <x:v>t/m³</x:v>
      </x:c>
      <x:c r="D6" t="str">
        <x:v>Modeling assumption; used only to convert ANP m³ to estimated tonnes.</x:v>
      </x:c>
    </x:row>
    <x:row r="7">
      <x:c r="A7" t="str">
        <x:v>Q1 2026 imports</x:v>
      </x:c>
      <x:c r="B7" s="240" t="n">
        <x:f>SUM(B13:B15)</x:f>
        <x:v>1302623.2086</x:v>
      </x:c>
      <x:c r="C7" t="str">
        <x:v>m³</x:v>
      </x:c>
      <x:c r="D7" t="str">
        <x:v>ANP national series fetched Oct-1; January–July revised.</x:v>
      </x:c>
    </x:row>
    <x:row r="8">
      <x:c r="A8" t="str">
        <x:v>Q2 2026 imports</x:v>
      </x:c>
      <x:c r="B8" s="240" t="n">
        <x:f>SUM(B16:B18)</x:f>
        <x:v>724799.9043</x:v>
      </x:c>
      <x:c r="C8" t="str">
        <x:v>m³</x:v>
      </x:c>
      <x:c r="D8" t="str">
        <x:v>ANP national series fetched Oct-1; January–July revised.</x:v>
      </x:c>
    </x:row>
    <x:row r="9">
      <x:c r="A9" t="str">
        <x:v>Q2 vs Q1</x:v>
      </x:c>
      <x:c r="B9" s="241" t="n">
        <x:f>B8/B7-1</x:f>
        <x:v>-0.4435843768828732</x:v>
      </x:c>
      <x:c r="C9" t="str">
        <x:v>%</x:v>
      </x:c>
      <x:c r="D9" t="str">
        <x:v>Q2 vs Q1 non-overlapping comparison.</x:v>
      </x:c>
    </x:row>
    <x:row r="10">
      <x:c r="A10" t="str">
        <x:v>Current national trend</x:v>
      </x:c>
      <x:c r="B10" s="282" t="str">
        <x:v>RECOVERING; BELOW Q1</x:v>
      </x:c>
      <x:c r="C10"/>
      <x:c r="D10" s="280" t="str">
        <x:v>Aug +35.8% MoM; 3M 2.60Mt/yr vs Q1 3.80Mt/yr.</x:v>
      </x:c>
    </x:row>
    <x:row r="11">
      <x:c r="A11" s="18" t="str">
        <x:v>Latest 3M Jun–Aug annualized</x:v>
      </x:c>
      <x:c r="B11" s="298" t="n">
        <x:f>E20</x:f>
        <x:v>2.599446913444</x:v>
      </x:c>
      <x:c r="C11" s="18" t="str">
        <x:v>Mt/yr @ 0.73 t/m³</x:v>
      </x:c>
      <x:c r="D11" s="18" t="str">
        <x:v>ANP national control series</x:v>
      </x:c>
    </x:row>
    <x:row r="12">
      <x:c r="A12" s="238" t="str">
        <x:v>Month</x:v>
      </x:c>
      <x:c r="B12" s="238" t="str">
        <x:v>ANP Brazil Naphtha Imports (m³)</x:v>
      </x:c>
      <x:c r="C12" s="238" t="str">
        <x:v>Est. Brazil Imports (kt @ density)</x:v>
      </x:c>
      <x:c r="D12" s="238" t="str">
        <x:v>3M Rolling Imports (m³)</x:v>
      </x:c>
      <x:c r="E12" s="238" t="str">
        <x:v>3M Annualized Imports (Mt @ density)</x:v>
      </x:c>
      <x:c r="F12" s="238" t="str">
        <x:v>MoM Change</x:v>
      </x:c>
      <x:c r="G12" s="238" t="str">
        <x:v>Quarter / Trend Read</x:v>
      </x:c>
      <x:c r="H12" s="238" t="str">
        <x:v>Braskem Aratu Gross Completed (kt)</x:v>
      </x:c>
      <x:c r="I12" s="238" t="str">
        <x:v>Future LR1 Completed (kt)</x:v>
      </x:c>
      <x:c r="J12" s="238" t="str">
        <x:v>Third-party Completed (kt)</x:v>
      </x:c>
      <x:c r="K12" s="238" t="str">
        <x:v>Near-Forward Aratu (kt)</x:v>
      </x:c>
      <x:c r="L12" s="238" t="str">
        <x:v>Braskem-Specific Import Coverage</x:v>
      </x:c>
      <x:c r="M12" s="238" t="str">
        <x:v>Primary Source</x:v>
      </x:c>
      <x:c r="N12" s="238" t="str">
        <x:v>Comment</x:v>
      </x:c>
    </x:row>
    <x:row r="13">
      <x:c r="A13" s="205" t="n">
        <x:v>46023</x:v>
      </x:c>
      <x:c r="B13" s="243" t="n">
        <x:v>401434.0643</x:v>
      </x:c>
      <x:c r="C13" s="244" t="n">
        <x:f>IF(B13="","",B13*$B$6/1000)</x:f>
        <x:v>293.04686693900004</x:v>
      </x:c>
      <x:c r="D13" s="245" t="str">
        <x:f>""</x:f>
      </x:c>
      <x:c r="E13" s="271" t="str">
        <x:f>""</x:f>
      </x:c>
      <x:c r="F13" s="247" t="str">
        <x:f>""</x:f>
      </x:c>
      <x:c r="G13" s="86" t="str">
        <x:v>Q1</x:v>
      </x:c>
      <x:c r="H13" s="206"/>
      <x:c r="I13" s="206"/>
      <x:c r="J13" s="206"/>
      <x:c r="K13" s="206"/>
      <x:c r="L13" s="86" t="str">
        <x:v>Braskem customs history now loaded in Customs Imports; distinct reporting basis.</x:v>
      </x:c>
      <x:c r="M13" s="207" t="str">
        <x:v>https://www.gov.br/anp/pt-br/centrais-de-conteudo/dados-abertos/arquivos/ie/derivados/importacoes-exportacoes-derivados-2000-2025.csv/view</x:v>
      </x:c>
      <x:c r="N13" s="86" t="str">
        <x:v>ANP CSV fetched Oct-1; revised January–July and added August. National imports, not Braskem-specific.</x:v>
      </x:c>
    </x:row>
    <x:row r="14">
      <x:c r="A14" s="205" t="n">
        <x:v>46054</x:v>
      </x:c>
      <x:c r="B14" s="243" t="n">
        <x:v>443672.77</x:v>
      </x:c>
      <x:c r="C14" s="244" t="n">
        <x:f>IF(B14="","",B14*$B$6/1000)</x:f>
        <x:v>323.88112209999997</x:v>
      </x:c>
      <x:c r="D14" s="245" t="str">
        <x:f>""</x:f>
      </x:c>
      <x:c r="E14" s="271" t="str">
        <x:f>""</x:f>
      </x:c>
      <x:c r="F14" s="247" t="n">
        <x:f>IF(OR(B14="",B13=""),"",B14/B13-1)</x:f>
        <x:v>0.10521953530190231</x:v>
      </x:c>
      <x:c r="G14" s="86" t="str">
        <x:v>Q1</x:v>
      </x:c>
      <x:c r="H14" s="206"/>
      <x:c r="I14" s="206"/>
      <x:c r="J14" s="206"/>
      <x:c r="K14" s="206"/>
      <x:c r="L14" s="86" t="str">
        <x:v>Braskem customs history now loaded in Customs Imports; distinct reporting basis.</x:v>
      </x:c>
      <x:c r="M14" s="207" t="str">
        <x:v>https://www.gov.br/anp/pt-br/centrais-de-conteudo/dados-abertos/arquivos/ie/derivados/importacoes-exportacoes-derivados-2000-2025.csv/view</x:v>
      </x:c>
      <x:c r="N14" s="86" t="str">
        <x:v>ANP CSV fetched Oct-1; revised January–July and added August. National imports, not Braskem-specific.</x:v>
      </x:c>
    </x:row>
    <x:row r="15">
      <x:c r="A15" s="205" t="n">
        <x:v>46082</x:v>
      </x:c>
      <x:c r="B15" s="243" t="n">
        <x:v>457516.3743</x:v>
      </x:c>
      <x:c r="C15" s="244" t="n">
        <x:f>IF(B15="","",B15*$B$6/1000)</x:f>
        <x:v>333.986953239</x:v>
      </x:c>
      <x:c r="D15" s="245" t="n">
        <x:f>IF(COUNT(B13:B15)=3,SUM(B13:B15),"")</x:f>
        <x:v>1302623.2086</x:v>
      </x:c>
      <x:c r="E15" s="271" t="n">
        <x:f>IF(D15="","",D15*4*$B$6/1000000)</x:f>
        <x:v>3.803659769112</x:v>
      </x:c>
      <x:c r="F15" s="247" t="n">
        <x:f>IF(OR(B15="",B14=""),"",B15/B14-1)</x:f>
        <x:v>0.03120228518869883</x:v>
      </x:c>
      <x:c r="G15" s="86" t="str">
        <x:v>Q1</x:v>
      </x:c>
      <x:c r="H15" s="206"/>
      <x:c r="I15" s="206"/>
      <x:c r="J15" s="206"/>
      <x:c r="K15" s="206"/>
      <x:c r="L15" s="86" t="str">
        <x:v>Braskem customs history now loaded in Customs Imports; distinct reporting basis.</x:v>
      </x:c>
      <x:c r="M15" s="207" t="str">
        <x:v>https://www.gov.br/anp/pt-br/centrais-de-conteudo/dados-abertos/arquivos/ie/derivados/importacoes-exportacoes-derivados-2000-2025.csv/view</x:v>
      </x:c>
      <x:c r="N15" s="86" t="str">
        <x:v>ANP CSV fetched Oct-1; revised January–July and added August. National imports, not Braskem-specific.</x:v>
      </x:c>
    </x:row>
    <x:row r="16">
      <x:c r="A16" s="205" t="n">
        <x:v>46113</x:v>
      </x:c>
      <x:c r="B16" s="243" t="n">
        <x:v>294746.8786</x:v>
      </x:c>
      <x:c r="C16" s="244" t="n">
        <x:f>IF(B16="","",B16*$B$6/1000)</x:f>
        <x:v>215.16522137799998</x:v>
      </x:c>
      <x:c r="D16" s="245" t="n">
        <x:f>IF(COUNT(B14:B16)=3,SUM(B14:B16),"")</x:f>
        <x:v>1195936.0229</x:v>
      </x:c>
      <x:c r="E16" s="271" t="n">
        <x:f>IF(D16="","",D16*4*$B$6/1000000)</x:f>
        <x:v>3.4921331868679997</x:v>
      </x:c>
      <x:c r="F16" s="247" t="n">
        <x:f>IF(OR(B16="",B15=""),"",B16/B15-1)</x:f>
        <x:v>-0.35576758525645624</x:v>
      </x:c>
      <x:c r="G16" s="86" t="str">
        <x:v>Q2</x:v>
      </x:c>
      <x:c r="H16" s="206"/>
      <x:c r="I16" s="206"/>
      <x:c r="J16" s="206"/>
      <x:c r="K16" s="206"/>
      <x:c r="L16" s="86" t="str">
        <x:v>Braskem customs history now loaded in Customs Imports; distinct reporting basis.</x:v>
      </x:c>
      <x:c r="M16" s="207" t="str">
        <x:v>https://www.gov.br/anp/pt-br/centrais-de-conteudo/dados-abertos/arquivos/ie/derivados/importacoes-exportacoes-derivados-2000-2025.csv/view</x:v>
      </x:c>
      <x:c r="N16" s="86" t="str">
        <x:v>ANP CSV fetched Oct-1; revised January–July and added August. National imports, not Braskem-specific.</x:v>
      </x:c>
    </x:row>
    <x:row r="17">
      <x:c r="A17" s="205" t="n">
        <x:v>46143</x:v>
      </x:c>
      <x:c r="B17" s="243" t="n">
        <x:v>136064.59</x:v>
      </x:c>
      <x:c r="C17" s="244" t="n">
        <x:f>IF(B17="","",B17*$B$6/1000)</x:f>
        <x:v>99.3271507</x:v>
      </x:c>
      <x:c r="D17" s="245" t="n">
        <x:f>IF(COUNT(B15:B17)=3,SUM(B15:B17),"")</x:f>
        <x:v>888327.8428999999</x:v>
      </x:c>
      <x:c r="E17" s="271" t="n">
        <x:f>IF(D17="","",D17*4*$B$6/1000000)</x:f>
        <x:v>2.5939173012679997</x:v>
      </x:c>
      <x:c r="F17" s="247" t="n">
        <x:f>IF(OR(B17="",B16=""),"",B17/B16-1)</x:f>
        <x:v>-0.5383680036026681</x:v>
      </x:c>
      <x:c r="G17" s="86" t="str">
        <x:v>Q2</x:v>
      </x:c>
      <x:c r="H17" s="206"/>
      <x:c r="I17" s="206"/>
      <x:c r="J17" s="206"/>
      <x:c r="K17" s="206"/>
      <x:c r="L17" s="86" t="str">
        <x:v>Braskem customs history now loaded in Customs Imports; distinct reporting basis.</x:v>
      </x:c>
      <x:c r="M17" s="207" t="str">
        <x:v>https://www.gov.br/anp/pt-br/centrais-de-conteudo/dados-abertos/arquivos/ie/derivados/importacoes-exportacoes-derivados-2000-2025.csv/view</x:v>
      </x:c>
      <x:c r="N17" s="86" t="str">
        <x:v>ANP CSV fetched Oct-1; revised January–July and added August. National imports, not Braskem-specific.</x:v>
      </x:c>
    </x:row>
    <x:row r="18">
      <x:c r="A18" s="205" t="n">
        <x:v>46174</x:v>
      </x:c>
      <x:c r="B18" s="243" t="n">
        <x:v>293988.4357</x:v>
      </x:c>
      <x:c r="C18" s="244" t="n">
        <x:f>IF(B18="","",B18*$B$6/1000)</x:f>
        <x:v>214.61155806099998</x:v>
      </x:c>
      <x:c r="D18" s="245" t="n">
        <x:f>IF(COUNT(B16:B18)=3,SUM(B16:B18),"")</x:f>
        <x:v>724799.9043</x:v>
      </x:c>
      <x:c r="E18" s="271" t="n">
        <x:f>IF(D18="","",D18*4*$B$6/1000000)</x:f>
        <x:v>2.116415720556</x:v>
      </x:c>
      <x:c r="F18" s="247" t="n">
        <x:f>IF(OR(B18="",B17=""),"",B18/B17-1)</x:f>
        <x:v>1.1606535227129995</x:v>
      </x:c>
      <x:c r="G18" s="249" t="str">
        <x:v>Q2 — quarter clearly down vs Q1</x:v>
      </x:c>
      <x:c r="H18" s="206"/>
      <x:c r="I18" s="206"/>
      <x:c r="J18" s="206"/>
      <x:c r="K18" s="206"/>
      <x:c r="L18" s="86" t="str">
        <x:v>Braskem customs history now loaded in Customs Imports; distinct reporting basis.</x:v>
      </x:c>
      <x:c r="M18" s="207" t="str">
        <x:v>https://www.gov.br/anp/pt-br/centrais-de-conteudo/dados-abertos/arquivos/ie/derivados/importacoes-exportacoes-derivados-2000-2025.csv/view</x:v>
      </x:c>
      <x:c r="N18" s="86" t="str">
        <x:v>ANP CSV fetched Oct-1; revised January–July and added August. National imports, not Braskem-specific.</x:v>
      </x:c>
    </x:row>
    <x:row r="19">
      <x:c r="A19" s="205" t="n">
        <x:v>46204</x:v>
      </x:c>
      <x:c r="B19" s="243" t="n">
        <x:v>252848.4871</x:v>
      </x:c>
      <x:c r="C19" s="244" t="n">
        <x:f>B19*$B$6/1000</x:f>
        <x:v>184.579395583</x:v>
      </x:c>
      <x:c r="D19" s="245" t="n">
        <x:f>SUM(B17:B19)</x:f>
        <x:v>682901.5128</x:v>
      </x:c>
      <x:c r="E19" s="271" t="n">
        <x:f>D19*4*$B$6/1000000</x:f>
        <x:v>1.994072417376</x:v>
      </x:c>
      <x:c r="F19" s="247" t="n">
        <x:f>B19/B18-1</x:f>
        <x:v>-0.13993730230253398</x:v>
      </x:c>
      <x:c r="G19" s="86" t="str">
        <x:v>Jul — recovery off May trough, still below Q1</x:v>
      </x:c>
      <x:c r="H19" s="206"/>
      <x:c r="I19" s="206"/>
      <x:c r="J19" s="206"/>
      <x:c r="K19" s="206"/>
      <x:c r="L19" s="86" t="str">
        <x:v>Braskem customs history now loaded in Customs Imports; distinct reporting basis.</x:v>
      </x:c>
      <x:c r="M19" s="207" t="str">
        <x:v>https://www.gov.br/anp/pt-br/centrais-de-conteudo/dados-abertos/importacoes-e-exportacoes</x:v>
      </x:c>
      <x:c r="N19" s="86" t="str">
        <x:v>ANP CSV fetched Oct-1; revised January–July and added August. National imports, not Braskem-specific.</x:v>
      </x:c>
    </x:row>
    <x:row r="20">
      <x:c r="A20" s="205" t="n">
        <x:v>46235</x:v>
      </x:c>
      <x:c r="B20" s="243" t="n">
        <x:v>343384.6229</x:v>
      </x:c>
      <x:c r="C20" s="244" t="n">
        <x:f>IF(B20="","",B20*$B$6/1000)</x:f>
        <x:v>250.670774717</x:v>
      </x:c>
      <x:c r="D20" s="245" t="n">
        <x:f>IF(COUNT(B18:B20)=3,SUM(B18:B20),"")</x:f>
        <x:v>890221.5456999999</x:v>
      </x:c>
      <x:c r="E20" s="271" t="n">
        <x:f>IF(D20="","",D20*4*$B$6/1000000)</x:f>
        <x:v>2.599446913444</x:v>
      </x:c>
      <x:c r="F20" s="247" t="n">
        <x:f>IF(OR(B20="",B19=""),"",B20/B19-1)</x:f>
        <x:v>0.35806477166775985</x:v>
      </x:c>
      <x:c r="G20" s="275" t="str">
        <x:v>Aug — Braskem Aratu flow strengthened</x:v>
      </x:c>
      <x:c r="H20" s="206" t="n">
        <x:v>204.055253</x:v>
      </x:c>
      <x:c r="I20" s="206" t="n">
        <x:v>55.245144</x:v>
      </x:c>
      <x:c r="J20" s="206" t="n">
        <x:v>148.810109</x:v>
      </x:c>
      <x:c r="K20" s="206"/>
      <x:c r="L20" s="86" t="str">
        <x:v>Braskem customs history now loaded in Customs Imports; distinct reporting basis.</x:v>
      </x:c>
      <x:c r="M20" s="207" t="str">
        <x:v>https://www.gov.br/anp/pt-br/centrais-de-conteudo/dados-abertos/arquivos/ie/derivados/importacoes-exportacoes-derivados-2000-2025.csv</x:v>
      </x:c>
      <x:c r="N20" s="86" t="str">
        <x:v>ANP CSV fetched Oct-1; revised January–July and added August. National imports, not Braskem-specific.</x:v>
      </x:c>
    </x:row>
    <x:row r="21">
      <x:c r="A21" s="205" t="n">
        <x:v>46266</x:v>
      </x:c>
      <x:c r="B21" s="280"/>
      <x:c r="C21" s="280"/>
      <x:c r="D21" s="280"/>
      <x:c r="E21" s="280"/>
      <x:c r="F21" s="280"/>
      <x:c r="G21" s="86" t="str">
        <x:v>Sep — Beautiful Future 56.6kt planned</x:v>
      </x:c>
      <x:c r="H21" s="86"/>
      <x:c r="I21" s="86"/>
      <x:c r="J21" s="86"/>
      <x:c r="K21" s="206" t="n">
        <x:f>Arrivals!G11</x:f>
        <x:v>56.617101</x:v>
      </x:c>
      <x:c r="L21" s="86" t="str">
        <x:v>Partial port capture; customs data through August only</x:v>
      </x:c>
      <x:c r="M21" s="207" t="str">
        <x:v>https://codeba.gov.br/eficiente/sites/portalcodeba/pt-br/porto_aratu.php?secao=tportos_aratu</x:v>
      </x:c>
      <x:c r="N21" s="86" t="str">
        <x:v>Oct-1 live source: Beautiful Future still berthed; ETD Oct-1. No completed discharge confirmation. October known cargo 89.7kt plus Baiacu TBD; Cedar and Pine anchored.</x:v>
      </x:c>
    </x:row>
    <x:row r="22">
      <x:c r="A22" s="233" t="str">
        <x:v>Investment Read-Through</x:v>
      </x:c>
      <x:c r="B22" s="233"/>
      <x:c r="C22" s="233"/>
      <x:c r="D22" s="233"/>
      <x:c r="E22" s="233"/>
      <x:c r="F22" s="233"/>
      <x:c r="G22" s="233"/>
      <x:c r="H22" s="233"/>
      <x:c r="I22" s="233"/>
      <x:c r="J22" s="233"/>
      <x:c r="K22" s="233"/>
      <x:c r="L22" s="233"/>
      <x:c r="M22" s="233"/>
      <x:c r="N22" s="233"/>
    </x:row>
    <x:row r="23" ht="22" customHeight="1">
      <x:c r="A23" s="59" t="str">
        <x:v>Braskem-specific customs data now show Q2 petrochemical naphtha clearances 44.4% below Q1 and an August rebound to 240.4kt, up 35.8% from July. August remains 20.9% below the Q1 monthly average. These actual-kg clearances support a procurement recovery but do not prove the cause of the Q2 decline or incremental supply from the Future fleet. Current vessel evidence: Beautiful Future live, Blooming Future and Cedar Express scheduled. Customs timing, national m³ statistics and physical port receipts are distinct.</x:v>
      </x:c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</x:row>
    <x:row r="24" ht="22" customHeight="1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</x:row>
    <x:row r="25" ht="22" customHeight="1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</x:row>
    <x:row r="26" ht="22" customHeight="1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</x:row>
    <x:row r="27" ht="22" customHeight="1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</x:row>
    <x:row r="29">
      <x:c r="A29" s="233" t="str">
        <x:v>Official Sources</x:v>
      </x:c>
      <x:c r="B29" s="233"/>
      <x:c r="C29" s="233"/>
      <x:c r="D29" s="233"/>
      <x:c r="E29" s="233"/>
      <x:c r="F29" s="233"/>
      <x:c r="G29" s="233"/>
      <x:c r="H29" s="233"/>
      <x:c r="I29" s="233"/>
      <x:c r="J29" s="233"/>
      <x:c r="K29" s="233"/>
      <x:c r="L29" s="233"/>
      <x:c r="M29" s="233"/>
      <x:c r="N29" s="233"/>
    </x:row>
    <x:row r="30">
      <x:c r="A30" s="238" t="str">
        <x:v>Source</x:v>
      </x:c>
      <x:c r="B30" s="238" t="str">
        <x:v>What it provides</x:v>
      </x:c>
      <x:c r="C30" s="238" t="str">
        <x:v>URL</x:v>
      </x:c>
      <x:c r="D30" s="238" t="str">
        <x:v>Status</x:v>
      </x:c>
    </x:row>
    <x:row r="31" ht="32" customHeight="1">
      <x:c r="A31" s="86" t="str">
        <x:v>ANP national imports</x:v>
      </x:c>
      <x:c r="B31" s="86" t="str">
        <x:v>Monthly national naphtha imports in m³ through Aug-26</x:v>
      </x:c>
      <x:c r="C31" s="207" t="str">
        <x:v>https://www.gov.br/anp/pt-br/centrais-de-conteudo/dados-abertos/arquivos/ie/derivados/importacoes-exportacoes-derivados-2000-2025.csv/view</x:v>
      </x:c>
      <x:c r="D31" s="86" t="str">
        <x:v>Fetched Oct-1; August added, earlier 2026 months revised</x:v>
      </x:c>
    </x:row>
    <x:row r="32" ht="32" customHeight="1">
      <x:c r="A32" s="86" t="str">
        <x:v>ANP customs clearances</x:v>
      </x:c>
      <x:c r="B32" s="86" t="str">
        <x:v>Importer / NCM / customs office / origin / kg through Aug-26</x:v>
      </x:c>
      <x:c r="C32" s="207" t="str">
        <x:v>https://www.gov.br/anp/pt-br/assuntos/importacoes-e-exportacoes/arquivos-desembaracos/desembaraco-2026.xlsx</x:v>
      </x:c>
      <x:c r="D32" s="86" t="str">
        <x:v>Rechecked Oct-1; latest remains August</x:v>
      </x:c>
    </x:row>
    <x:row r="33" ht="32" customHeight="1">
      <x:c r="A33" s="86" t="str">
        <x:v>ANP terminal movement</x:v>
      </x:c>
      <x:c r="B33" s="86" t="str">
        <x:v>Monthly terminal receipt/delivery volumes from Sep-2022 onward</x:v>
      </x:c>
      <x:c r="C33" s="207" t="str">
        <x:v>https://www.gov.br/anp/pt-br/centrais-de-conteudo/dados-abertos/movimentacao-dos-terminais-aquaviarios</x:v>
      </x:c>
      <x:c r="D33" s="86" t="str">
        <x:v>Available; use for terminal reconciliation</x:v>
      </x:c>
    </x:row>
    <x:row r="34" ht="32" customHeight="1">
      <x:c r="A34" s="86" t="str">
        <x:v>CODEBA Aratu</x:v>
      </x:c>
      <x:c r="B34" s="86" t="str">
        <x:v>Current / near-forward vessel, cargo, quantity, operator</x:v>
      </x:c>
      <x:c r="C34" s="207" t="str">
        <x:v>https://codeba.gov.br/eficiente/sites/portalcodeba/pt-br/porto_aratu.php?secao=tportos_aratu</x:v>
      </x:c>
      <x:c r="D34" s="86" t="str">
        <x:v>Current schedule refreshed Oct-1; August completions retained</x:v>
      </x:c>
    </x:row>
  </x:sheetData>
  <x:mergeCells>
    <x:mergeCell ref="A1:N1"/>
    <x:mergeCell ref="A2:N2"/>
    <x:mergeCell ref="A4:N4"/>
    <x:mergeCell ref="A22:N22"/>
    <x:mergeCell ref="A23:N27"/>
    <x:mergeCell ref="A29:N29"/>
  </x:mergeCells>
  <x:conditionalFormatting sqref="B10:B10">
    <x:cfRule type="expression" dxfId="9" priority="1">
      <x:formula>$B$10="DOWN"</x:formula>
    </x:cfRule>
    <x:cfRule type="expression" dxfId="10" priority="2">
      <x:formula>$B$10="UP"</x:formula>
    </x:cfRule>
  </x:conditionalFormatting>
  <x:pageMargins left="0.7" right="0.7" top="0.75" bottom="0.75" header="0.3" footer="0.3"/>
  <x:drawing xmlns:r="http://schemas.openxmlformats.org/officeDocument/2006/relationships" r:id="Rdb4a60f88c51457e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9" hidden="0" customWidth="1"/>
    <x:col min="3" max="3" width="22" hidden="0" customWidth="1"/>
    <x:col min="4" max="4" width="22" hidden="0" customWidth="1"/>
    <x:col min="5" max="5" width="22" hidden="0" customWidth="1"/>
    <x:col min="6" max="6" width="30" hidden="0" customWidth="1"/>
    <x:col min="7" max="7" width="30" hidden="0" customWidth="1"/>
    <x:col min="8" max="8" width="30" hidden="0" customWidth="1"/>
    <x:col min="9" max="9" width="27" hidden="0" customWidth="1"/>
  </x:cols>
  <x:sheetData>
    <x:row r="1">
      <x:c r="A1" s="301" t="str">
        <x:v>Brazil naphtha customs clearances — January–August 2026</x:v>
      </x:c>
      <x:c r="B1" s="300"/>
      <x:c r="C1" s="300"/>
      <x:c r="D1" s="300"/>
      <x:c r="E1" s="300"/>
      <x:c r="F1" s="300"/>
      <x:c r="G1" s="300"/>
      <x:c r="H1" s="300"/>
      <x:c r="I1" s="300"/>
    </x:row>
    <x:row r="2" ht="30" customHeight="1">
      <x:c r="A2" s="302" t="str">
        <x:v>Braskem petrochemical naphtha: NCM 27101241. Other naphthas (27101249) shown separately. Actual kg; no density conversion.</x:v>
      </x:c>
      <x:c r="B2" s="302"/>
      <x:c r="C2" s="302"/>
      <x:c r="D2" s="302"/>
      <x:c r="E2" s="302"/>
      <x:c r="F2" s="302"/>
      <x:c r="G2" s="302"/>
      <x:c r="H2" s="302"/>
      <x:c r="I2" s="302"/>
    </x:row>
    <x:row r="3">
      <x:c r="A3" s="300"/>
      <x:c r="B3" s="300"/>
      <x:c r="C3" s="300"/>
      <x:c r="D3" s="300"/>
      <x:c r="E3" s="300"/>
      <x:c r="F3" s="300"/>
      <x:c r="G3" s="300"/>
      <x:c r="H3" s="300"/>
      <x:c r="I3" s="300"/>
    </x:row>
    <x:row r="4" ht="32" customHeight="1">
      <x:c r="A4" s="305" t="str">
        <x:v>Month</x:v>
      </x:c>
      <x:c r="B4" s="305" t="str">
        <x:v>Braskem (kt)</x:v>
      </x:c>
      <x:c r="C4" s="305" t="str">
        <x:v>Other petrochemical (kt)</x:v>
      </x:c>
      <x:c r="D4" s="305" t="str">
        <x:v>Other naphthas (kt)</x:v>
      </x:c>
      <x:c r="E4" s="305" t="str">
        <x:v>Total both NCMs (kt)</x:v>
      </x:c>
      <x:c r="F4" s="305" t="str">
        <x:v>Braskem MoM</x:v>
      </x:c>
      <x:c r="G4" s="305" t="str">
        <x:v>US origin (kt)</x:v>
      </x:c>
      <x:c r="H4" s="305" t="str">
        <x:v>US share</x:v>
      </x:c>
      <x:c r="I4" s="305" t="str">
        <x:v>Braskem 3M annualized (Mt)</x:v>
      </x:c>
    </x:row>
    <x:row r="5">
      <x:c r="A5" s="306" t="n">
        <x:v>46023</x:v>
      </x:c>
      <x:c r="B5" s="307" t="n">
        <x:f>SUMIFS($I$26:$I$168,$A$26:$A$168,MONTH(A5),$B$26:$B$168,"BRASKEM S.A",$E$26:$E$168,"27101241")/1000000</x:f>
        <x:v>281.003845</x:v>
      </x:c>
      <x:c r="C5" s="307" t="n">
        <x:f>SUMIFS($I$26:$I$168,$A$26:$A$168,MONTH(A5),$B$26:$B$168,"&lt;&gt;BRASKEM S.A",$E$26:$E$168,"27101241")/1000000</x:f>
        <x:v>0</x:v>
      </x:c>
      <x:c r="D5" s="307" t="n">
        <x:f>SUMIFS($I$26:$I$168,$A$26:$A$168,MONTH(A5),$E$26:$E$168,"27101249")/1000000</x:f>
        <x:v>29.683892976400003</x:v>
      </x:c>
      <x:c r="E5" s="307" t="n">
        <x:f>SUM(B5:D5)</x:f>
        <x:v>310.6877379764</x:v>
      </x:c>
      <x:c r="F5" s="308"/>
      <x:c r="G5" s="307" t="n">
        <x:f>SUMIFS($I$26:$I$168,$A$26:$A$168,MONTH(A5),$B$26:$B$168,"BRASKEM S.A",$E$26:$E$168,"27101241",$H$26:$H$168,"ESTADOS UNIDOS")/1000000</x:f>
        <x:v>222.47491</x:v>
      </x:c>
      <x:c r="H5" s="308" t="n">
        <x:f>G5/B5</x:f>
        <x:v>0.7917148251120905</x:v>
      </x:c>
      <x:c r="I5" s="309"/>
    </x:row>
    <x:row r="6">
      <x:c r="A6" s="306" t="n">
        <x:v>46054</x:v>
      </x:c>
      <x:c r="B6" s="307" t="n">
        <x:f>SUMIFS($I$26:$I$168,$A$26:$A$168,MONTH(A6),$B$26:$B$168,"BRASKEM S.A",$E$26:$E$168,"27101241")/1000000</x:f>
        <x:v>310.570939</x:v>
      </x:c>
      <x:c r="C6" s="307" t="n">
        <x:f>SUMIFS($I$26:$I$168,$A$26:$A$168,MONTH(A6),$B$26:$B$168,"&lt;&gt;BRASKEM S.A",$E$26:$E$168,"27101241")/1000000</x:f>
        <x:v>0</x:v>
      </x:c>
      <x:c r="D6" s="307" t="n">
        <x:f>SUMIFS($I$26:$I$168,$A$26:$A$168,MONTH(A6),$E$26:$E$168,"27101249")/1000000</x:f>
        <x:v>0.292699364</x:v>
      </x:c>
      <x:c r="E6" s="307" t="n">
        <x:f>SUM(B6:D6)</x:f>
        <x:v>310.863638364</x:v>
      </x:c>
      <x:c r="F6" s="308" t="n">
        <x:f>B6/B5-1</x:f>
        <x:v>0.10521953534123352</x:v>
      </x:c>
      <x:c r="G6" s="307" t="n">
        <x:f>SUMIFS($I$26:$I$168,$A$26:$A$168,MONTH(A6),$B$26:$B$168,"BRASKEM S.A",$E$26:$E$168,"27101241",$H$26:$H$168,"ESTADOS UNIDOS")/1000000</x:f>
        <x:v>274.462003</x:v>
      </x:c>
      <x:c r="H6" s="308" t="n">
        <x:f>G6/B6</x:f>
        <x:v>0.883733693447731</x:v>
      </x:c>
      <x:c r="I6" s="309"/>
    </x:row>
    <x:row r="7">
      <x:c r="A7" s="306" t="n">
        <x:v>46082</x:v>
      </x:c>
      <x:c r="B7" s="307" t="n">
        <x:f>SUMIFS($I$26:$I$168,$A$26:$A$168,MONTH(A7),$B$26:$B$168,"BRASKEM S.A",$E$26:$E$168,"27101241")/1000000</x:f>
        <x:v>320.261462</x:v>
      </x:c>
      <x:c r="C7" s="307" t="n">
        <x:f>SUMIFS($I$26:$I$168,$A$26:$A$168,MONTH(A7),$B$26:$B$168,"&lt;&gt;BRASKEM S.A",$E$26:$E$168,"27101241")/1000000</x:f>
        <x:v>0</x:v>
      </x:c>
      <x:c r="D7" s="307" t="n">
        <x:f>SUMIFS($I$26:$I$168,$A$26:$A$168,MONTH(A7),$E$26:$E$168,"27101249")/1000000</x:f>
        <x:v>38.390500218999996</x:v>
      </x:c>
      <x:c r="E7" s="307" t="n">
        <x:f>SUM(B7:D7)</x:f>
        <x:v>358.651962219</x:v>
      </x:c>
      <x:c r="F7" s="308" t="n">
        <x:f>B7/B6-1</x:f>
        <x:v>0.031202285156500142</x:v>
      </x:c>
      <x:c r="G7" s="307" t="n">
        <x:f>SUMIFS($I$26:$I$168,$A$26:$A$168,MONTH(A7),$B$26:$B$168,"BRASKEM S.A",$E$26:$E$168,"27101241",$H$26:$H$168,"ESTADOS UNIDOS")/1000000</x:f>
        <x:v>282.699778</x:v>
      </x:c>
      <x:c r="H7" s="308" t="n">
        <x:f>G7/B7</x:f>
        <x:v>0.8827155669451106</x:v>
      </x:c>
      <x:c r="I7" s="309" t="n">
        <x:f>SUM(B5:B7)*4/1000</x:f>
        <x:v>3.6473449840000005</x:v>
      </x:c>
    </x:row>
    <x:row r="8">
      <x:c r="A8" s="306" t="n">
        <x:v>46113</x:v>
      </x:c>
      <x:c r="B8" s="307" t="n">
        <x:f>SUMIFS($I$26:$I$168,$A$26:$A$168,MONTH(A8),$B$26:$B$168,"BRASKEM S.A",$E$26:$E$168,"27101241")/1000000</x:f>
        <x:v>206.322815</x:v>
      </x:c>
      <x:c r="C8" s="307" t="n">
        <x:f>SUMIFS($I$26:$I$168,$A$26:$A$168,MONTH(A8),$B$26:$B$168,"&lt;&gt;BRASKEM S.A",$E$26:$E$168,"27101241")/1000000</x:f>
        <x:v>0</x:v>
      </x:c>
      <x:c r="D8" s="307" t="n">
        <x:f>SUMIFS($I$26:$I$168,$A$26:$A$168,MONTH(A8),$E$26:$E$168,"27101249")/1000000</x:f>
        <x:v>0.7020733539899999</x:v>
      </x:c>
      <x:c r="E8" s="307" t="n">
        <x:f>SUM(B8:D8)</x:f>
        <x:v>207.02488835398998</x:v>
      </x:c>
      <x:c r="F8" s="308" t="n">
        <x:f>B8/B7-1</x:f>
        <x:v>-0.3557675852987894</x:v>
      </x:c>
      <x:c r="G8" s="307" t="n">
        <x:f>SUMIFS($I$26:$I$168,$A$26:$A$168,MONTH(A8),$B$26:$B$168,"BRASKEM S.A",$E$26:$E$168,"27101241",$H$26:$H$168,"ESTADOS UNIDOS")/1000000</x:f>
        <x:v>169.922025</x:v>
      </x:c>
      <x:c r="H8" s="308" t="n">
        <x:f>G8/B8</x:f>
        <x:v>0.8235736072135309</x:v>
      </x:c>
      <x:c r="I8" s="309" t="n">
        <x:f>SUM(B6:B8)*4/1000</x:f>
        <x:v>3.348620864</x:v>
      </x:c>
    </x:row>
    <x:row r="9">
      <x:c r="A9" s="306" t="n">
        <x:v>46143</x:v>
      </x:c>
      <x:c r="B9" s="307" t="n">
        <x:f>SUMIFS($I$26:$I$168,$A$26:$A$168,MONTH(A9),$B$26:$B$168,"BRASKEM S.A",$E$26:$E$168,"27101241")/1000000</x:f>
        <x:v>95.245213</x:v>
      </x:c>
      <x:c r="C9" s="307" t="n">
        <x:f>SUMIFS($I$26:$I$168,$A$26:$A$168,MONTH(A9),$B$26:$B$168,"&lt;&gt;BRASKEM S.A",$E$26:$E$168,"27101241")/1000000</x:f>
        <x:v>0</x:v>
      </x:c>
      <x:c r="D9" s="307" t="n">
        <x:f>SUMIFS($I$26:$I$168,$A$26:$A$168,MONTH(A9),$E$26:$E$168,"27101249")/1000000</x:f>
        <x:v>0.494679168</x:v>
      </x:c>
      <x:c r="E9" s="307" t="n">
        <x:f>SUM(B9:D9)</x:f>
        <x:v>95.73989216800001</x:v>
      </x:c>
      <x:c r="F9" s="308" t="n">
        <x:f>B9/B8-1</x:f>
        <x:v>-0.5383680035579196</x:v>
      </x:c>
      <x:c r="G9" s="307" t="n">
        <x:f>SUMIFS($I$26:$I$168,$A$26:$A$168,MONTH(A9),$B$26:$B$168,"BRASKEM S.A",$E$26:$E$168,"27101241",$H$26:$H$168,"ESTADOS UNIDOS")/1000000</x:f>
        <x:v>57.965585</x:v>
      </x:c>
      <x:c r="H9" s="308" t="n">
        <x:f>G9/B9</x:f>
        <x:v>0.6085931583774189</x:v>
      </x:c>
      <x:c r="I9" s="309" t="n">
        <x:f>SUM(B7:B9)*4/1000</x:f>
        <x:v>2.48731796</x:v>
      </x:c>
    </x:row>
    <x:row r="10">
      <x:c r="A10" s="306" t="n">
        <x:v>46174</x:v>
      </x:c>
      <x:c r="B10" s="307" t="n">
        <x:f>SUMIFS($I$26:$I$168,$A$26:$A$168,MONTH(A10),$B$26:$B$168,"BRASKEM S.A",$E$26:$E$168,"27101241")/1000000</x:f>
        <x:v>205.791905</x:v>
      </x:c>
      <x:c r="C10" s="307" t="n">
        <x:f>SUMIFS($I$26:$I$168,$A$26:$A$168,MONTH(A10),$B$26:$B$168,"&lt;&gt;BRASKEM S.A",$E$26:$E$168,"27101241")/1000000</x:f>
        <x:v>0</x:v>
      </x:c>
      <x:c r="D10" s="307" t="n">
        <x:f>SUMIFS($I$26:$I$168,$A$26:$A$168,MONTH(A10),$E$26:$E$168,"27101249")/1000000</x:f>
        <x:v>34.543502332</x:v>
      </x:c>
      <x:c r="E10" s="307" t="n">
        <x:f>SUM(B10:D10)</x:f>
        <x:v>240.33540733200002</x:v>
      </x:c>
      <x:c r="F10" s="308" t="n">
        <x:f>B10/B9-1</x:f>
        <x:v>1.160653522817992</x:v>
      </x:c>
      <x:c r="G10" s="307" t="n">
        <x:f>SUMIFS($I$26:$I$168,$A$26:$A$168,MONTH(A10),$B$26:$B$168,"BRASKEM S.A",$E$26:$E$168,"27101241",$H$26:$H$168,"ESTADOS UNIDOS")/1000000</x:f>
        <x:v>170.718379</x:v>
      </x:c>
      <x:c r="H10" s="308" t="n">
        <x:f>G10/B10</x:f>
        <x:v>0.8295679997714195</x:v>
      </x:c>
      <x:c r="I10" s="309" t="n">
        <x:f>SUM(B8:B10)*4/1000</x:f>
        <x:v>2.029439732</x:v>
      </x:c>
    </x:row>
    <x:row r="11">
      <x:c r="A11" s="306" t="n">
        <x:v>46204</x:v>
      </x:c>
      <x:c r="B11" s="307" t="n">
        <x:f>SUMIFS($I$26:$I$168,$A$26:$A$168,MONTH(A11),$B$26:$B$168,"BRASKEM S.A",$E$26:$E$168,"27101241")/1000000</x:f>
        <x:v>176.993941</x:v>
      </x:c>
      <x:c r="C11" s="307" t="n">
        <x:f>SUMIFS($I$26:$I$168,$A$26:$A$168,MONTH(A11),$B$26:$B$168,"&lt;&gt;BRASKEM S.A",$E$26:$E$168,"27101241")/1000000</x:f>
        <x:v>0</x:v>
      </x:c>
      <x:c r="D11" s="307" t="n">
        <x:f>SUMIFS($I$26:$I$168,$A$26:$A$168,MONTH(A11),$E$26:$E$168,"27101249")/1000000</x:f>
        <x:v>36.700510636</x:v>
      </x:c>
      <x:c r="E11" s="307" t="n">
        <x:f>SUM(B11:D11)</x:f>
        <x:v>213.694451636</x:v>
      </x:c>
      <x:c r="F11" s="308" t="n">
        <x:f>B11/B10-1</x:f>
        <x:v>-0.1399373021985486</x:v>
      </x:c>
      <x:c r="G11" s="307" t="n">
        <x:f>SUMIFS($I$26:$I$168,$A$26:$A$168,MONTH(A11),$B$26:$B$168,"BRASKEM S.A",$E$26:$E$168,"27101241",$H$26:$H$168,"ESTADOS UNIDOS")/1000000</x:f>
        <x:v>115.621163</x:v>
      </x:c>
      <x:c r="H11" s="308" t="n">
        <x:f>G11/B11</x:f>
        <x:v>0.6532492713973751</x:v>
      </x:c>
      <x:c r="I11" s="309" t="n">
        <x:f>SUM(B9:B11)*4/1000</x:f>
        <x:v>1.9121242360000001</x:v>
      </x:c>
    </x:row>
    <x:row r="12">
      <x:c r="A12" s="306" t="n">
        <x:v>46235</x:v>
      </x:c>
      <x:c r="B12" s="307" t="n">
        <x:f>SUMIFS($I$26:$I$168,$A$26:$A$168,MONTH(A12),$B$26:$B$168,"BRASKEM S.A",$E$26:$E$168,"27101241")/1000000</x:f>
        <x:v>240.39366327599998</x:v>
      </x:c>
      <x:c r="C12" s="307" t="n">
        <x:f>SUMIFS($I$26:$I$168,$A$26:$A$168,MONTH(A12),$B$26:$B$168,"&lt;&gt;BRASKEM S.A",$E$26:$E$168,"27101241")/1000000</x:f>
        <x:v>0</x:v>
      </x:c>
      <x:c r="D12" s="307" t="n">
        <x:f>SUMIFS($I$26:$I$168,$A$26:$A$168,MONTH(A12),$E$26:$E$168,"27101249")/1000000</x:f>
        <x:v>0.2379094144</x:v>
      </x:c>
      <x:c r="E12" s="307" t="n">
        <x:f>SUM(B12:D12)</x:f>
        <x:v>240.6315726904</x:v>
      </x:c>
      <x:c r="F12" s="308" t="n">
        <x:f>B12/B11-1</x:f>
        <x:v>0.358202783201488</x:v>
      </x:c>
      <x:c r="G12" s="307" t="n">
        <x:f>SUMIFS($I$26:$I$168,$A$26:$A$168,MONTH(A12),$B$26:$B$168,"BRASKEM S.A",$E$26:$E$168,"27101241",$H$26:$H$168,"ESTADOS UNIDOS")/1000000</x:f>
        <x:v>128.610440276</x:v>
      </x:c>
      <x:c r="H12" s="308" t="n">
        <x:f>G12/B12</x:f>
        <x:v>0.5349992945876456</x:v>
      </x:c>
      <x:c r="I12" s="309" t="n">
        <x:f>SUM(B10:B12)*4/1000</x:f>
        <x:v>2.492718037104</x:v>
      </x:c>
    </x:row>
    <x:row r="13">
      <x:c r="A13" s="300"/>
      <x:c r="B13" s="300"/>
      <x:c r="C13" s="300"/>
      <x:c r="D13" s="300"/>
      <x:c r="E13" s="300"/>
      <x:c r="F13" s="300"/>
      <x:c r="G13" s="300"/>
      <x:c r="H13" s="300"/>
      <x:c r="I13" s="300"/>
    </x:row>
    <x:row r="14">
      <x:c r="A14" s="300" t="str">
        <x:v>Braskem Q1 monthly average (kt)</x:v>
      </x:c>
      <x:c r="B14" s="307" t="n">
        <x:f>AVERAGE(B5:B7)</x:f>
        <x:v>303.94541533333336</x:v>
      </x:c>
      <x:c r="C14" s="300"/>
      <x:c r="D14" s="300"/>
      <x:c r="E14" s="300"/>
      <x:c r="F14" s="300"/>
      <x:c r="G14" s="300"/>
      <x:c r="H14" s="300"/>
      <x:c r="I14" s="300"/>
    </x:row>
    <x:row r="15">
      <x:c r="A15" s="300" t="str">
        <x:v>August vs Q1 monthly average</x:v>
      </x:c>
      <x:c r="B15" s="308" t="n">
        <x:f>B12/B14-1</x:f>
        <x:v>-0.20908935898123981</x:v>
      </x:c>
      <x:c r="C15" s="300"/>
      <x:c r="D15" s="300"/>
      <x:c r="E15" s="300"/>
      <x:c r="F15" s="300"/>
      <x:c r="G15" s="300"/>
      <x:c r="H15" s="300"/>
      <x:c r="I15" s="300"/>
    </x:row>
    <x:row r="16">
      <x:c r="A16" s="300" t="str">
        <x:v>Braskem Jan–Aug total (kt)</x:v>
      </x:c>
      <x:c r="B16" s="307" t="n">
        <x:f>SUM(B5:B12)</x:f>
        <x:v>1836.5837832759998</x:v>
      </x:c>
      <x:c r="C16" s="300"/>
      <x:c r="D16" s="300"/>
      <x:c r="E16" s="300"/>
      <x:c r="F16" s="300"/>
      <x:c r="G16" s="300"/>
      <x:c r="H16" s="300"/>
      <x:c r="I16" s="300"/>
    </x:row>
    <x:row r="17">
      <x:c r="A17" s="300" t="str">
        <x:v>August clearance detail (kt)</x:v>
      </x:c>
      <x:c r="B17" s="300"/>
      <x:c r="C17" s="300"/>
      <x:c r="D17" s="300"/>
      <x:c r="E17" s="300"/>
      <x:c r="F17" s="300"/>
      <x:c r="G17" s="300"/>
      <x:c r="H17" s="300"/>
      <x:c r="I17" s="300"/>
    </x:row>
    <x:row r="18" ht="32" customHeight="1">
      <x:c r="A18" s="305" t="str">
        <x:v>Customs office</x:v>
      </x:c>
      <x:c r="B18" s="305" t="str">
        <x:v>Origin</x:v>
      </x:c>
      <x:c r="C18" s="305" t="str">
        <x:v>August Braskem (kt)</x:v>
      </x:c>
      <x:c r="D18" s="300"/>
      <x:c r="E18" s="300"/>
      <x:c r="F18" s="300"/>
      <x:c r="G18" s="300"/>
      <x:c r="H18" s="300"/>
      <x:c r="I18" s="300"/>
    </x:row>
    <x:row r="19">
      <x:c r="A19" s="300" t="str">
        <x:v>ALF - SALVADOR</x:v>
      </x:c>
      <x:c r="B19" s="300" t="str">
        <x:v>ESTADOS UNIDOS</x:v>
      </x:c>
      <x:c r="C19" s="307" t="n">
        <x:f>SUMIFS($I$26:$I$168,$A$26:$A$168,8,$B$26:$B$168,"BRASKEM S.A",$E$26:$E$168,"27101241",$G$26:$G$168,A19,$H$26:$H$168,B19)/1000000</x:f>
        <x:v>128.610440276</x:v>
      </x:c>
      <x:c r="D19" s="300"/>
      <x:c r="E19" s="300"/>
      <x:c r="F19" s="300"/>
      <x:c r="G19" s="300"/>
      <x:c r="H19" s="300"/>
      <x:c r="I19" s="300"/>
    </x:row>
    <x:row r="20">
      <x:c r="A20" s="300" t="str">
        <x:v>ALF - PORTO ALEGRE</x:v>
      </x:c>
      <x:c r="B20" s="300" t="str">
        <x:v>ARGELIA</x:v>
      </x:c>
      <x:c r="C20" s="307" t="n">
        <x:f>SUMIFS($I$26:$I$168,$A$26:$A$168,8,$B$26:$B$168,"BRASKEM S.A",$E$26:$E$168,"27101241",$G$26:$G$168,A20,$H$26:$H$168,B20)/1000000</x:f>
        <x:v>85.411854</x:v>
      </x:c>
      <x:c r="D20" s="300"/>
      <x:c r="E20" s="300"/>
      <x:c r="F20" s="300"/>
      <x:c r="G20" s="300"/>
      <x:c r="H20" s="300"/>
      <x:c r="I20" s="300"/>
    </x:row>
    <x:row r="21">
      <x:c r="A21" s="300" t="str">
        <x:v>ALF - PORTO ALEGRE</x:v>
      </x:c>
      <x:c r="B21" s="300" t="str">
        <x:v>ARGENTINA</x:v>
      </x:c>
      <x:c r="C21" s="307" t="n">
        <x:f>SUMIFS($I$26:$I$168,$A$26:$A$168,8,$B$26:$B$168,"BRASKEM S.A",$E$26:$E$168,"27101241",$G$26:$G$168,A21,$H$26:$H$168,B21)/1000000</x:f>
        <x:v>26.371369</x:v>
      </x:c>
      <x:c r="D21" s="300"/>
      <x:c r="E21" s="300"/>
      <x:c r="F21" s="300"/>
      <x:c r="G21" s="300"/>
      <x:c r="H21" s="300"/>
      <x:c r="I21" s="300"/>
    </x:row>
    <x:row r="22">
      <x:c r="A22" s="300"/>
      <x:c r="B22" s="300"/>
      <x:c r="C22" s="300"/>
      <x:c r="D22" s="300"/>
      <x:c r="E22" s="300"/>
      <x:c r="F22" s="300"/>
      <x:c r="G22" s="300"/>
      <x:c r="H22" s="300"/>
      <x:c r="I22" s="300"/>
    </x:row>
    <x:row r="23" ht="40" customHeight="1">
      <x:c r="A23" s="302" t="str">
        <x:v>Source: ANP Relatório de Desembaraços, “DESEMB - ago - 2026”; retrieved 28-Sep-2026. https://www.gov.br/anp/pt-br/assuntos/importacoes-e-exportacoes/arquivos-desembaracos/desembaraco-2026.xlsx</x:v>
      </x:c>
      <x:c r="B23" s="302"/>
      <x:c r="C23" s="302"/>
      <x:c r="D23" s="302"/>
      <x:c r="E23" s="302"/>
      <x:c r="F23" s="302"/>
      <x:c r="G23" s="302"/>
      <x:c r="H23" s="302"/>
      <x:c r="I23" s="302"/>
    </x:row>
    <x:row r="24" ht="30" customHeight="1">
      <x:c r="A24" s="302" t="str">
        <x:v>Clearance month differs from physical discharge. Customs office is not a vessel terminal. Do not add customs totals to ANP m³ or port receipts.</x:v>
      </x:c>
      <x:c r="B24" s="302"/>
      <x:c r="C24" s="302"/>
      <x:c r="D24" s="302"/>
      <x:c r="E24" s="302"/>
      <x:c r="F24" s="302"/>
      <x:c r="G24" s="302"/>
      <x:c r="H24" s="302"/>
      <x:c r="I24" s="302"/>
    </x:row>
    <x:row r="25" ht="32" customHeight="1">
      <x:c r="A25" s="305" t="str">
        <x:v>Clearance month</x:v>
      </x:c>
      <x:c r="B25" s="305" t="str">
        <x:v>Importer</x:v>
      </x:c>
      <x:c r="C25" s="305" t="str">
        <x:v>CNPJ</x:v>
      </x:c>
      <x:c r="D25" s="305" t="str">
        <x:v>CNPJ state</x:v>
      </x:c>
      <x:c r="E25" s="305" t="str">
        <x:v>NCM</x:v>
      </x:c>
      <x:c r="F25" s="305" t="str">
        <x:v>NCM description</x:v>
      </x:c>
      <x:c r="G25" s="305" t="str">
        <x:v>Customs office</x:v>
      </x:c>
      <x:c r="H25" s="305" t="str">
        <x:v>Origin country</x:v>
      </x:c>
      <x:c r="I25" s="305" t="str">
        <x:v>Quantity (kg)</x:v>
      </x:c>
    </x:row>
    <x:row r="26">
      <x:c r="A26" s="300" t="n">
        <x:v>1</x:v>
      </x:c>
      <x:c r="B26" s="300" t="str">
        <x:v>BRASKEM S.A</x:v>
      </x:c>
      <x:c r="C26" s="300" t="str">
        <x:v>42150391000170</x:v>
      </x:c>
      <x:c r="D26" s="300" t="str">
        <x:v>BA</x:v>
      </x:c>
      <x:c r="E26" s="300" t="str">
        <x:v>27101241</x:v>
      </x:c>
      <x:c r="F26" s="300" t="str">
        <x:v>Naftas para petroquimica</x:v>
      </x:c>
      <x:c r="G26" s="300" t="str">
        <x:v>ALF - SALVADOR</x:v>
      </x:c>
      <x:c r="H26" s="300" t="str">
        <x:v>CANARIAS</x:v>
      </x:c>
      <x:c r="I26" s="310" t="n">
        <x:v>58528935</x:v>
      </x:c>
    </x:row>
    <x:row r="27">
      <x:c r="A27" s="300" t="n">
        <x:v>1</x:v>
      </x:c>
      <x:c r="B27" s="300" t="str">
        <x:v>BRASKEM S.A</x:v>
      </x:c>
      <x:c r="C27" s="300" t="str">
        <x:v>42150391000170</x:v>
      </x:c>
      <x:c r="D27" s="300" t="str">
        <x:v>BA</x:v>
      </x:c>
      <x:c r="E27" s="300" t="str">
        <x:v>27101241</x:v>
      </x:c>
      <x:c r="F27" s="300" t="str">
        <x:v>Naftas para petroquimica</x:v>
      </x:c>
      <x:c r="G27" s="300" t="str">
        <x:v>ALF - SALVADOR</x:v>
      </x:c>
      <x:c r="H27" s="300" t="str">
        <x:v>ESTADOS UNIDOS</x:v>
      </x:c>
      <x:c r="I27" s="310" t="n">
        <x:v>82865844</x:v>
      </x:c>
    </x:row>
    <x:row r="28">
      <x:c r="A28" s="300" t="n">
        <x:v>1</x:v>
      </x:c>
      <x:c r="B28" s="300" t="str">
        <x:v>BRASKEM S.A</x:v>
      </x:c>
      <x:c r="C28" s="300" t="str">
        <x:v>42150391003862</x:v>
      </x:c>
      <x:c r="D28" s="300" t="str">
        <x:v>RS</x:v>
      </x:c>
      <x:c r="E28" s="300" t="str">
        <x:v>27101241</x:v>
      </x:c>
      <x:c r="F28" s="300" t="str">
        <x:v>Naftas para petroquimica</x:v>
      </x:c>
      <x:c r="G28" s="300" t="str">
        <x:v>ALF - PORTO ALEGRE</x:v>
      </x:c>
      <x:c r="H28" s="300" t="str">
        <x:v>ESTADOS UNIDOS</x:v>
      </x:c>
      <x:c r="I28" s="310" t="n">
        <x:v>139609066</x:v>
      </x:c>
    </x:row>
    <x:row r="29">
      <x:c r="A29" s="300" t="n">
        <x:v>1</x:v>
      </x:c>
      <x:c r="B29" s="300" t="str">
        <x:v>BRENNTAG QUIMICA BRASIL LTDA.</x:v>
      </x:c>
      <x:c r="C29" s="300" t="str">
        <x:v>33391434001603</x:v>
      </x:c>
      <x:c r="D29" s="300" t="str">
        <x:v>RS</x:v>
      </x:c>
      <x:c r="E29" s="300" t="str">
        <x:v>27101249</x:v>
      </x:c>
      <x:c r="F29" s="300" t="str">
        <x:v>Outras</x:v>
      </x:c>
      <x:c r="G29" s="300" t="str">
        <x:v>ALF-Uruguaiana</x:v>
      </x:c>
      <x:c r="H29" s="300" t="str">
        <x:v>ARGENTINA</x:v>
      </x:c>
      <x:c r="I29" s="310" t="n">
        <x:v>74680</x:v>
      </x:c>
    </x:row>
    <x:row r="30">
      <x:c r="A30" s="300" t="n">
        <x:v>1</x:v>
      </x:c>
      <x:c r="B30" s="300" t="str">
        <x:v>CHESTERTON  DO BRASIL EIRELI</x:v>
      </x:c>
      <x:c r="C30" s="300" t="str">
        <x:v>01724535000178</x:v>
      </x:c>
      <x:c r="D30" s="300" t="str">
        <x:v>SP</x:v>
      </x:c>
      <x:c r="E30" s="300" t="str">
        <x:v>27101249</x:v>
      </x:c>
      <x:c r="F30" s="300" t="str">
        <x:v>Outras</x:v>
      </x:c>
      <x:c r="G30" s="300" t="str">
        <x:v>ALF-Porto de Santos</x:v>
      </x:c>
      <x:c r="H30" s="300" t="str">
        <x:v>ESTADOS UNIDOS</x:v>
      </x:c>
      <x:c r="I30" s="310" t="n">
        <x:v>6.6384</x:v>
      </x:c>
    </x:row>
    <x:row r="31">
      <x:c r="A31" s="300" t="n">
        <x:v>1</x:v>
      </x:c>
      <x:c r="B31" s="300" t="str">
        <x:v>GOL LINHAS AEREAS S.A.</x:v>
      </x:c>
      <x:c r="C31" s="300" t="str">
        <x:v>07575651003689</x:v>
      </x:c>
      <x:c r="D31" s="300" t="str">
        <x:v>MG</x:v>
      </x:c>
      <x:c r="E31" s="300" t="str">
        <x:v>27101249</x:v>
      </x:c>
      <x:c r="F31" s="300" t="str">
        <x:v>Outras</x:v>
      </x:c>
      <x:c r="G31" s="300" t="str">
        <x:v>ALF-Belo Horizonte</x:v>
      </x:c>
      <x:c r="H31" s="300" t="str">
        <x:v>ESTADOS UNIDOS</x:v>
      </x:c>
      <x:c r="I31" s="310" t="n">
        <x:v>123.53</x:v>
      </x:c>
    </x:row>
    <x:row r="32">
      <x:c r="A32" s="300" t="n">
        <x:v>1</x:v>
      </x:c>
      <x:c r="B32" s="300" t="str">
        <x:v>INTERNATIONAL COMMODITIES TRADING LTDA</x:v>
      </x:c>
      <x:c r="C32" s="300" t="str">
        <x:v>44303728000753</x:v>
      </x:c>
      <x:c r="D32" s="300" t="str">
        <x:v>SC</x:v>
      </x:c>
      <x:c r="E32" s="300" t="str">
        <x:v>27101249</x:v>
      </x:c>
      <x:c r="F32" s="300" t="str">
        <x:v>Outras</x:v>
      </x:c>
      <x:c r="G32" s="300" t="str">
        <x:v>ALF-Dionísio Cerqueira</x:v>
      </x:c>
      <x:c r="H32" s="300" t="str">
        <x:v>ARGENTINA</x:v>
      </x:c>
      <x:c r="I32" s="310" t="n">
        <x:v>45940</x:v>
      </x:c>
    </x:row>
    <x:row r="33">
      <x:c r="A33" s="300" t="n">
        <x:v>1</x:v>
      </x:c>
      <x:c r="B33" s="300" t="str">
        <x:v>JOHNSON &amp; JOHNSON DO BRASIL INDUSTRIA E COMERCIO DE PRODUTOS</x:v>
      </x:c>
      <x:c r="C33" s="300" t="str">
        <x:v>54516661000284</x:v>
      </x:c>
      <x:c r="D33" s="300" t="str">
        <x:v>SP</x:v>
      </x:c>
      <x:c r="E33" s="300" t="str">
        <x:v>27101249</x:v>
      </x:c>
      <x:c r="F33" s="300" t="str">
        <x:v>Outras</x:v>
      </x:c>
      <x:c r="G33" s="300" t="str">
        <x:v>ALF-Aerop Intern Viracopos</x:v>
      </x:c>
      <x:c r="H33" s="300" t="str">
        <x:v>ESTADOS UNIDOS</x:v>
      </x:c>
      <x:c r="I33" s="310" t="n">
        <x:v>249.9</x:v>
      </x:c>
    </x:row>
    <x:row r="34">
      <x:c r="A34" s="300" t="n">
        <x:v>1</x:v>
      </x:c>
      <x:c r="B34" s="300" t="str">
        <x:v>QUANTIQ DISTRIBUIDORA LTDA</x:v>
      </x:c>
      <x:c r="C34" s="300" t="str">
        <x:v>62227509002920</x:v>
      </x:c>
      <x:c r="D34" s="300" t="str">
        <x:v>SP</x:v>
      </x:c>
      <x:c r="E34" s="300" t="str">
        <x:v>27101249</x:v>
      </x:c>
      <x:c r="F34" s="300" t="str">
        <x:v>Outras</x:v>
      </x:c>
      <x:c r="G34" s="300" t="str">
        <x:v>ALF-Aerop Intern Viracopos</x:v>
      </x:c>
      <x:c r="H34" s="300" t="str">
        <x:v>FRANÇA</x:v>
      </x:c>
      <x:c r="I34" s="310" t="n">
        <x:v>0.688</x:v>
      </x:c>
    </x:row>
    <x:row r="35">
      <x:c r="A35" s="300" t="n">
        <x:v>1</x:v>
      </x:c>
      <x:c r="B35" s="300" t="str">
        <x:v>QUANTIQ DISTRIBUIDORA LTDA</x:v>
      </x:c>
      <x:c r="C35" s="300" t="str">
        <x:v>62227509002920</x:v>
      </x:c>
      <x:c r="D35" s="300" t="str">
        <x:v>SP</x:v>
      </x:c>
      <x:c r="E35" s="300" t="str">
        <x:v>27101249</x:v>
      </x:c>
      <x:c r="F35" s="300" t="str">
        <x:v>Outras</x:v>
      </x:c>
      <x:c r="G35" s="300" t="str">
        <x:v>ALF-Porto de Santos</x:v>
      </x:c>
      <x:c r="H35" s="300" t="str">
        <x:v>FRANÇA</x:v>
      </x:c>
      <x:c r="I35" s="310" t="n">
        <x:v>14500</x:v>
      </x:c>
    </x:row>
    <x:row r="36">
      <x:c r="A36" s="300" t="n">
        <x:v>1</x:v>
      </x:c>
      <x:c r="B36" s="300" t="str">
        <x:v>REFINARIA DE MANAUS S.A.</x:v>
      </x:c>
      <x:c r="C36" s="300" t="str">
        <x:v>40180943000168</x:v>
      </x:c>
      <x:c r="D36" s="300" t="str">
        <x:v>AM</x:v>
      </x:c>
      <x:c r="E36" s="300" t="str">
        <x:v>27101249</x:v>
      </x:c>
      <x:c r="F36" s="300" t="str">
        <x:v>Outras</x:v>
      </x:c>
      <x:c r="G36" s="300" t="str">
        <x:v>ALF-Porto de Manaus</x:v>
      </x:c>
      <x:c r="H36" s="300" t="str">
        <x:v>RUSSIA</x:v>
      </x:c>
      <x:c r="I36" s="310" t="n">
        <x:v>29547755</x:v>
      </x:c>
    </x:row>
    <x:row r="37">
      <x:c r="A37" s="300" t="n">
        <x:v>1</x:v>
      </x:c>
      <x:c r="B37" s="300" t="str">
        <x:v>SOCIEDADE MICHELIN DE PARTICIPACOES INDUST E COMERCIO LTDA</x:v>
      </x:c>
      <x:c r="C37" s="300" t="str">
        <x:v>50567288000744</x:v>
      </x:c>
      <x:c r="D37" s="300" t="str">
        <x:v>RJ</x:v>
      </x:c>
      <x:c r="E37" s="300" t="str">
        <x:v>27101249</x:v>
      </x:c>
      <x:c r="F37" s="300" t="str">
        <x:v>Outras</x:v>
      </x:c>
      <x:c r="G37" s="300" t="str">
        <x:v>ALF-Aerop Int RJ / Galeao</x:v>
      </x:c>
      <x:c r="H37" s="300" t="str">
        <x:v>ESTADOS UNIDOS</x:v>
      </x:c>
      <x:c r="I37" s="310" t="n">
        <x:v>7</x:v>
      </x:c>
    </x:row>
    <x:row r="38">
      <x:c r="A38" s="300" t="n">
        <x:v>1</x:v>
      </x:c>
      <x:c r="B38" s="300" t="str">
        <x:v>SUMITOMO RUBBER DO BRASIL LTDA.</x:v>
      </x:c>
      <x:c r="C38" s="300" t="str">
        <x:v>13816470000170</x:v>
      </x:c>
      <x:c r="D38" s="300" t="str">
        <x:v>PR</x:v>
      </x:c>
      <x:c r="E38" s="300" t="str">
        <x:v>27101249</x:v>
      </x:c>
      <x:c r="F38" s="300" t="str">
        <x:v>Outras naftas, exceto para petroquímica</x:v>
      </x:c>
      <x:c r="G38" s="300" t="str">
        <x:v>PORTO DE PARANAGUA</x:v>
      </x:c>
      <x:c r="H38" s="300" t="str">
        <x:v>ESTADOS UNIDOS</x:v>
      </x:c>
      <x:c r="I38" s="310" t="n">
        <x:v>435.42</x:v>
      </x:c>
    </x:row>
    <x:row r="39">
      <x:c r="A39" s="300" t="n">
        <x:v>1</x:v>
      </x:c>
      <x:c r="B39" s="300" t="str">
        <x:v>TECH INTERNATIONAL DO BRASIL SOLUCOES EM REPAROS LTDA.</x:v>
      </x:c>
      <x:c r="C39" s="300" t="str">
        <x:v>26805736000120</x:v>
      </x:c>
      <x:c r="D39" s="300" t="str">
        <x:v>SP</x:v>
      </x:c>
      <x:c r="E39" s="300" t="str">
        <x:v>27101249</x:v>
      </x:c>
      <x:c r="F39" s="300" t="str">
        <x:v>Outras</x:v>
      </x:c>
      <x:c r="G39" s="300" t="str">
        <x:v>ALF-Porto de Santos</x:v>
      </x:c>
      <x:c r="H39" s="300" t="str">
        <x:v>ESTADOS UNIDOS</x:v>
      </x:c>
      <x:c r="I39" s="310" t="n">
        <x:v>192</x:v>
      </x:c>
    </x:row>
    <x:row r="40">
      <x:c r="A40" s="300" t="n">
        <x:v>1</x:v>
      </x:c>
      <x:c r="B40" s="300" t="str">
        <x:v>WAIVER LOGISTICA BRASIL LTDA.</x:v>
      </x:c>
      <x:c r="C40" s="300" t="str">
        <x:v>08726359000152</x:v>
      </x:c>
      <x:c r="D40" s="300" t="str">
        <x:v>SP</x:v>
      </x:c>
      <x:c r="E40" s="300" t="str">
        <x:v>27101249</x:v>
      </x:c>
      <x:c r="F40" s="300" t="str">
        <x:v>Outras</x:v>
      </x:c>
      <x:c r="G40" s="300" t="str">
        <x:v>ALF - São Paulo</x:v>
      </x:c>
      <x:c r="H40" s="300" t="str">
        <x:v>REINO UNIDO</x:v>
      </x:c>
      <x:c r="I40" s="310" t="n">
        <x:v>2.8</x:v>
      </x:c>
    </x:row>
    <x:row r="41">
      <x:c r="A41" s="300" t="n">
        <x:v>2</x:v>
      </x:c>
      <x:c r="B41" s="300" t="str">
        <x:v>ANJO QUIMICA DO BRASIL LTDA</x:v>
      </x:c>
      <x:c r="C41" s="300" t="str">
        <x:v>02921346000158</x:v>
      </x:c>
      <x:c r="D41" s="300" t="str">
        <x:v>SC</x:v>
      </x:c>
      <x:c r="E41" s="300" t="str">
        <x:v>27101249</x:v>
      </x:c>
      <x:c r="F41" s="300" t="str">
        <x:v>Outras</x:v>
      </x:c>
      <x:c r="G41" s="300" t="str">
        <x:v>ALF-Uruguaiana</x:v>
      </x:c>
      <x:c r="H41" s="300" t="str">
        <x:v>ARGENTINA</x:v>
      </x:c>
      <x:c r="I41" s="310" t="n">
        <x:v>43740</x:v>
      </x:c>
    </x:row>
    <x:row r="42">
      <x:c r="A42" s="300" t="n">
        <x:v>2</x:v>
      </x:c>
      <x:c r="B42" s="300" t="str">
        <x:v>BRASKEM S.A</x:v>
      </x:c>
      <x:c r="C42" s="300" t="str">
        <x:v>42150391000170</x:v>
      </x:c>
      <x:c r="D42" s="300" t="str">
        <x:v>BA</x:v>
      </x:c>
      <x:c r="E42" s="300" t="str">
        <x:v>27101241</x:v>
      </x:c>
      <x:c r="F42" s="300" t="str">
        <x:v>Naftas para petroquimica</x:v>
      </x:c>
      <x:c r="G42" s="300" t="str">
        <x:v>ALF - SALVADOR</x:v>
      </x:c>
      <x:c r="H42" s="300" t="str">
        <x:v>CANARIAS</x:v>
      </x:c>
      <x:c r="I42" s="310" t="n">
        <x:v>36108936</x:v>
      </x:c>
    </x:row>
    <x:row r="43">
      <x:c r="A43" s="300" t="n">
        <x:v>2</x:v>
      </x:c>
      <x:c r="B43" s="300" t="str">
        <x:v>BRASKEM S.A</x:v>
      </x:c>
      <x:c r="C43" s="300" t="str">
        <x:v>42150391000170</x:v>
      </x:c>
      <x:c r="D43" s="300" t="str">
        <x:v>BA</x:v>
      </x:c>
      <x:c r="E43" s="300" t="str">
        <x:v>27101241</x:v>
      </x:c>
      <x:c r="F43" s="300" t="str">
        <x:v>Naftas para petroquimica</x:v>
      </x:c>
      <x:c r="G43" s="300" t="str">
        <x:v>ALF - SALVADOR</x:v>
      </x:c>
      <x:c r="H43" s="300" t="str">
        <x:v>ESTADOS UNIDOS</x:v>
      </x:c>
      <x:c r="I43" s="310" t="n">
        <x:v>114415977</x:v>
      </x:c>
    </x:row>
    <x:row r="44">
      <x:c r="A44" s="300" t="n">
        <x:v>2</x:v>
      </x:c>
      <x:c r="B44" s="300" t="str">
        <x:v>BRASKEM S.A</x:v>
      </x:c>
      <x:c r="C44" s="300" t="str">
        <x:v>42150391003862</x:v>
      </x:c>
      <x:c r="D44" s="300" t="str">
        <x:v>RS</x:v>
      </x:c>
      <x:c r="E44" s="300" t="str">
        <x:v>27101241</x:v>
      </x:c>
      <x:c r="F44" s="300" t="str">
        <x:v>Naftas para petroquimica</x:v>
      </x:c>
      <x:c r="G44" s="300" t="str">
        <x:v>ALF - PORTO ALEGRE</x:v>
      </x:c>
      <x:c r="H44" s="300" t="str">
        <x:v>ESTADOS UNIDOS</x:v>
      </x:c>
      <x:c r="I44" s="310" t="n">
        <x:v>160046026</x:v>
      </x:c>
    </x:row>
    <x:row r="45">
      <x:c r="A45" s="300" t="n">
        <x:v>2</x:v>
      </x:c>
      <x:c r="B45" s="300" t="str">
        <x:v>BRENNTAG QUIMICA BRASIL LTDA.</x:v>
      </x:c>
      <x:c r="C45" s="300" t="str">
        <x:v>33391434001603</x:v>
      </x:c>
      <x:c r="D45" s="300" t="str">
        <x:v>RS</x:v>
      </x:c>
      <x:c r="E45" s="300" t="str">
        <x:v>27101249</x:v>
      </x:c>
      <x:c r="F45" s="300" t="str">
        <x:v>Outras</x:v>
      </x:c>
      <x:c r="G45" s="300" t="str">
        <x:v>ALF-Uruguaiana</x:v>
      </x:c>
      <x:c r="H45" s="300" t="str">
        <x:v>ARGENTINA</x:v>
      </x:c>
      <x:c r="I45" s="310" t="n">
        <x:v>70460</x:v>
      </x:c>
    </x:row>
    <x:row r="46">
      <x:c r="A46" s="300" t="n">
        <x:v>2</x:v>
      </x:c>
      <x:c r="B46" s="300" t="str">
        <x:v>BRENNTAG QUIMICA BRASIL LTDA.</x:v>
      </x:c>
      <x:c r="C46" s="300" t="str">
        <x:v>33391434002405</x:v>
      </x:c>
      <x:c r="D46" s="300" t="str">
        <x:v>SP</x:v>
      </x:c>
      <x:c r="E46" s="300" t="str">
        <x:v>27101249</x:v>
      </x:c>
      <x:c r="F46" s="300" t="str">
        <x:v>Outras</x:v>
      </x:c>
      <x:c r="G46" s="300" t="str">
        <x:v>ALF-Porto de Santos</x:v>
      </x:c>
      <x:c r="H46" s="300" t="str">
        <x:v>ESTADOS UNIDOS</x:v>
      </x:c>
      <x:c r="I46" s="310" t="n">
        <x:v>16420.03</x:v>
      </x:c>
    </x:row>
    <x:row r="47">
      <x:c r="A47" s="300" t="n">
        <x:v>2</x:v>
      </x:c>
      <x:c r="B47" s="300" t="str">
        <x:v>CARBONO QUIMICA LTDA</x:v>
      </x:c>
      <x:c r="C47" s="300" t="str">
        <x:v>50611433000151</x:v>
      </x:c>
      <x:c r="D47" s="300" t="str">
        <x:v>SP</x:v>
      </x:c>
      <x:c r="E47" s="300" t="str">
        <x:v>27101249</x:v>
      </x:c>
      <x:c r="F47" s="300" t="str">
        <x:v>Outras naftas, exceto para petroquímica</x:v>
      </x:c>
      <x:c r="G47" s="300" t="str">
        <x:v>PORTO DE SANTOS</x:v>
      </x:c>
      <x:c r="H47" s="300" t="str">
        <x:v>ISRAEL</x:v>
      </x:c>
      <x:c r="I47" s="310" t="n">
        <x:v>16760</x:v>
      </x:c>
    </x:row>
    <x:row r="48">
      <x:c r="A48" s="300" t="n">
        <x:v>2</x:v>
      </x:c>
      <x:c r="B48" s="300" t="str">
        <x:v>GOL LINHAS AEREAS S.A.</x:v>
      </x:c>
      <x:c r="C48" s="300" t="str">
        <x:v>07575651003689</x:v>
      </x:c>
      <x:c r="D48" s="300" t="str">
        <x:v>MG</x:v>
      </x:c>
      <x:c r="E48" s="300" t="str">
        <x:v>27101249</x:v>
      </x:c>
      <x:c r="F48" s="300" t="str">
        <x:v>Outras</x:v>
      </x:c>
      <x:c r="G48" s="300" t="str">
        <x:v>ALF-Belo Horizonte</x:v>
      </x:c>
      <x:c r="H48" s="300" t="str">
        <x:v>ESTADOS UNIDOS</x:v>
      </x:c>
      <x:c r="I48" s="310" t="n">
        <x:v>19.074</x:v>
      </x:c>
    </x:row>
    <x:row r="49">
      <x:c r="A49" s="300" t="n">
        <x:v>2</x:v>
      </x:c>
      <x:c r="B49" s="300" t="str">
        <x:v>HOMY INDUSTRIA E COMERCIO DE PRODUTOS QUIMICOS LTDA</x:v>
      </x:c>
      <x:c r="C49" s="300" t="str">
        <x:v>43085349000186</x:v>
      </x:c>
      <x:c r="D49" s="300" t="str">
        <x:v>SP</x:v>
      </x:c>
      <x:c r="E49" s="300" t="str">
        <x:v>27101249</x:v>
      </x:c>
      <x:c r="F49" s="300" t="str">
        <x:v>Outras</x:v>
      </x:c>
      <x:c r="G49" s="300" t="str">
        <x:v>ALF-Aerop Intern Viracopos</x:v>
      </x:c>
      <x:c r="H49" s="300" t="str">
        <x:v>FRANÇA</x:v>
      </x:c>
      <x:c r="I49" s="310" t="n">
        <x:v>1</x:v>
      </x:c>
    </x:row>
    <x:row r="50">
      <x:c r="A50" s="300" t="n">
        <x:v>2</x:v>
      </x:c>
      <x:c r="B50" s="300" t="str">
        <x:v>INTERNATIONAL COMMODITIES TRADING LTDA</x:v>
      </x:c>
      <x:c r="C50" s="300" t="str">
        <x:v>44303728000753</x:v>
      </x:c>
      <x:c r="D50" s="300" t="str">
        <x:v>SC</x:v>
      </x:c>
      <x:c r="E50" s="300" t="str">
        <x:v>27101249</x:v>
      </x:c>
      <x:c r="F50" s="300" t="str">
        <x:v>Outras</x:v>
      </x:c>
      <x:c r="G50" s="300" t="str">
        <x:v>ALF-Dionísio Cerqueira</x:v>
      </x:c>
      <x:c r="H50" s="300" t="str">
        <x:v>ARGENTINA</x:v>
      </x:c>
      <x:c r="I50" s="310" t="n">
        <x:v>47820</x:v>
      </x:c>
    </x:row>
    <x:row r="51">
      <x:c r="A51" s="300" t="n">
        <x:v>2</x:v>
      </x:c>
      <x:c r="B51" s="300" t="str">
        <x:v>MERCK S/A</x:v>
      </x:c>
      <x:c r="C51" s="300" t="str">
        <x:v>33069212000850</x:v>
      </x:c>
      <x:c r="D51" s="300" t="str">
        <x:v>SP</x:v>
      </x:c>
      <x:c r="E51" s="300" t="str">
        <x:v>27101249</x:v>
      </x:c>
      <x:c r="F51" s="300" t="str">
        <x:v>Outras</x:v>
      </x:c>
      <x:c r="G51" s="300" t="str">
        <x:v>ALF-Aerop Intern S Paulo</x:v>
      </x:c>
      <x:c r="H51" s="300" t="str">
        <x:v>ALEMANHA</x:v>
      </x:c>
      <x:c r="I51" s="310" t="n">
        <x:v>7.4</x:v>
      </x:c>
    </x:row>
    <x:row r="52">
      <x:c r="A52" s="300" t="n">
        <x:v>2</x:v>
      </x:c>
      <x:c r="B52" s="300" t="str">
        <x:v>MERCK S/A</x:v>
      </x:c>
      <x:c r="C52" s="300" t="str">
        <x:v>33069212000850</x:v>
      </x:c>
      <x:c r="D52" s="300" t="str">
        <x:v>SP</x:v>
      </x:c>
      <x:c r="E52" s="300" t="str">
        <x:v>27101249</x:v>
      </x:c>
      <x:c r="F52" s="300" t="str">
        <x:v>Outras</x:v>
      </x:c>
      <x:c r="G52" s="300" t="str">
        <x:v>ALF-Aerop Intern Viracopos</x:v>
      </x:c>
      <x:c r="H52" s="300" t="str">
        <x:v>ALEMANHA</x:v>
      </x:c>
      <x:c r="I52" s="310" t="n">
        <x:v>3.64</x:v>
      </x:c>
    </x:row>
    <x:row r="53">
      <x:c r="A53" s="300" t="n">
        <x:v>2</x:v>
      </x:c>
      <x:c r="B53" s="300" t="str">
        <x:v>QUANTIQ DISTRIBUIDORA LTDA</x:v>
      </x:c>
      <x:c r="C53" s="300" t="str">
        <x:v>62227509002920</x:v>
      </x:c>
      <x:c r="D53" s="300" t="str">
        <x:v>SP</x:v>
      </x:c>
      <x:c r="E53" s="300" t="str">
        <x:v>27101249</x:v>
      </x:c>
      <x:c r="F53" s="300" t="str">
        <x:v>Outras</x:v>
      </x:c>
      <x:c r="G53" s="300" t="str">
        <x:v>ALF-Porto de Santos</x:v>
      </x:c>
      <x:c r="H53" s="300" t="str">
        <x:v>FRANÇA</x:v>
      </x:c>
      <x:c r="I53" s="310" t="n">
        <x:v>31700</x:v>
      </x:c>
    </x:row>
    <x:row r="54">
      <x:c r="A54" s="300" t="n">
        <x:v>2</x:v>
      </x:c>
      <x:c r="B54" s="300" t="str">
        <x:v>SAINT-GOBAIN DO BRASIL PRODUTOS INDUSTRIAIS E PARA CONSTRUCA</x:v>
      </x:c>
      <x:c r="C54" s="300" t="str">
        <x:v>61064838016560</x:v>
      </x:c>
      <x:c r="D54" s="300" t="str">
        <x:v>SP</x:v>
      </x:c>
      <x:c r="E54" s="300" t="str">
        <x:v>27101249</x:v>
      </x:c>
      <x:c r="F54" s="300" t="str">
        <x:v>Outras</x:v>
      </x:c>
      <x:c r="G54" s="300" t="str">
        <x:v>ALF-Porto de Santos</x:v>
      </x:c>
      <x:c r="H54" s="300" t="str">
        <x:v>CHINA</x:v>
      </x:c>
      <x:c r="I54" s="310" t="n">
        <x:v>28072.8</x:v>
      </x:c>
    </x:row>
    <x:row r="55">
      <x:c r="A55" s="300" t="n">
        <x:v>2</x:v>
      </x:c>
      <x:c r="B55" s="300" t="str">
        <x:v>SOCIEDADE MICHELIN DE PARTICIPACOES INDUST E COMERCIO LTDA</x:v>
      </x:c>
      <x:c r="C55" s="300" t="str">
        <x:v>50567288000744</x:v>
      </x:c>
      <x:c r="D55" s="300" t="str">
        <x:v>RJ</x:v>
      </x:c>
      <x:c r="E55" s="300" t="str">
        <x:v>27101249</x:v>
      </x:c>
      <x:c r="F55" s="300" t="str">
        <x:v>Outras naftas, exceto para petroquímica</x:v>
      </x:c>
      <x:c r="G55" s="300" t="str">
        <x:v>PORTO DO RIO DE JANEIRO</x:v>
      </x:c>
      <x:c r="H55" s="300" t="str">
        <x:v>BELGICA</x:v>
      </x:c>
      <x:c r="I55" s="310" t="n">
        <x:v>16540</x:v>
      </x:c>
    </x:row>
    <x:row r="56">
      <x:c r="A56" s="300" t="n">
        <x:v>2</x:v>
      </x:c>
      <x:c r="B56" s="300" t="str">
        <x:v>SUMITOMO RUBBER DO BRASIL LTDA.</x:v>
      </x:c>
      <x:c r="C56" s="300" t="str">
        <x:v>13816470000170</x:v>
      </x:c>
      <x:c r="D56" s="300" t="str">
        <x:v>PR</x:v>
      </x:c>
      <x:c r="E56" s="300" t="str">
        <x:v>27101249</x:v>
      </x:c>
      <x:c r="F56" s="300" t="str">
        <x:v>Outras naftas, exceto para petroquímica</x:v>
      </x:c>
      <x:c r="G56" s="300" t="str">
        <x:v>PORTO DE PARANAGUA</x:v>
      </x:c>
      <x:c r="H56" s="300" t="str">
        <x:v>ESTADOS UNIDOS</x:v>
      </x:c>
      <x:c r="I56" s="310" t="n">
        <x:v>435.42</x:v>
      </x:c>
    </x:row>
    <x:row r="57">
      <x:c r="A57" s="300" t="n">
        <x:v>2</x:v>
      </x:c>
      <x:c r="B57" s="300" t="str">
        <x:v>VERQUIMICA INDUSTRIA E COMERCIO DE PRODUTOS QUIMICOS EIRELI</x:v>
      </x:c>
      <x:c r="C57" s="300" t="str">
        <x:v>43588060000180</x:v>
      </x:c>
      <x:c r="D57" s="300" t="str">
        <x:v>SP</x:v>
      </x:c>
      <x:c r="E57" s="300" t="str">
        <x:v>27101249</x:v>
      </x:c>
      <x:c r="F57" s="300" t="str">
        <x:v>Outras</x:v>
      </x:c>
      <x:c r="G57" s="300" t="str">
        <x:v>ALF-Uruguaiana</x:v>
      </x:c>
      <x:c r="H57" s="300" t="str">
        <x:v>ARGENTINA</x:v>
      </x:c>
      <x:c r="I57" s="310" t="n">
        <x:v>20720</x:v>
      </x:c>
    </x:row>
    <x:row r="58">
      <x:c r="A58" s="300" t="n">
        <x:v>3</x:v>
      </x:c>
      <x:c r="B58" s="300" t="str">
        <x:v>3M DO BRASIL LTDA</x:v>
      </x:c>
      <x:c r="C58" s="300" t="str">
        <x:v>45985371000108</x:v>
      </x:c>
      <x:c r="D58" s="300" t="str">
        <x:v>SP</x:v>
      </x:c>
      <x:c r="E58" s="300" t="str">
        <x:v>27101249</x:v>
      </x:c>
      <x:c r="F58" s="300" t="str">
        <x:v>Outras</x:v>
      </x:c>
      <x:c r="G58" s="300" t="str">
        <x:v>ALF-Porto de Santos</x:v>
      </x:c>
      <x:c r="H58" s="300" t="str">
        <x:v>ESTADOS UNIDOS</x:v>
      </x:c>
      <x:c r="I58" s="310" t="n">
        <x:v>2191.68</x:v>
      </x:c>
    </x:row>
    <x:row r="59">
      <x:c r="A59" s="300" t="n">
        <x:v>3</x:v>
      </x:c>
      <x:c r="B59" s="300" t="str">
        <x:v>ANJO QUIMICA DO BRASIL LTDA</x:v>
      </x:c>
      <x:c r="C59" s="300" t="str">
        <x:v>02921346000158</x:v>
      </x:c>
      <x:c r="D59" s="300" t="str">
        <x:v>SC</x:v>
      </x:c>
      <x:c r="E59" s="300" t="str">
        <x:v>27101249</x:v>
      </x:c>
      <x:c r="F59" s="300" t="str">
        <x:v>Outras</x:v>
      </x:c>
      <x:c r="G59" s="300" t="str">
        <x:v>ALF-Uruguaiana</x:v>
      </x:c>
      <x:c r="H59" s="300" t="str">
        <x:v>ARGENTINA</x:v>
      </x:c>
      <x:c r="I59" s="310" t="n">
        <x:v>144940</x:v>
      </x:c>
    </x:row>
    <x:row r="60">
      <x:c r="A60" s="300" t="n">
        <x:v>3</x:v>
      </x:c>
      <x:c r="B60" s="300" t="str">
        <x:v>BAKER HUGHES DO BRASIL LTDA</x:v>
      </x:c>
      <x:c r="C60" s="300" t="str">
        <x:v>42087254000643</x:v>
      </x:c>
      <x:c r="D60" s="300" t="str">
        <x:v>RJ</x:v>
      </x:c>
      <x:c r="E60" s="300" t="str">
        <x:v>27101249</x:v>
      </x:c>
      <x:c r="F60" s="300" t="str">
        <x:v>Outras</x:v>
      </x:c>
      <x:c r="G60" s="300" t="str">
        <x:v>ALF-Aerop Int RJ / Galeao</x:v>
      </x:c>
      <x:c r="H60" s="300" t="str">
        <x:v>BELGICA</x:v>
      </x:c>
      <x:c r="I60" s="310" t="n">
        <x:v>6</x:v>
      </x:c>
    </x:row>
    <x:row r="61">
      <x:c r="A61" s="300" t="n">
        <x:v>3</x:v>
      </x:c>
      <x:c r="B61" s="300" t="str">
        <x:v>BRASKEM S.A</x:v>
      </x:c>
      <x:c r="C61" s="300" t="str">
        <x:v>42150391000170</x:v>
      </x:c>
      <x:c r="D61" s="300" t="str">
        <x:v>BA</x:v>
      </x:c>
      <x:c r="E61" s="300" t="str">
        <x:v>27101241</x:v>
      </x:c>
      <x:c r="F61" s="300" t="str">
        <x:v>Naftas para petroquimica</x:v>
      </x:c>
      <x:c r="G61" s="300" t="str">
        <x:v>ALF - SALVADOR</x:v>
      </x:c>
      <x:c r="H61" s="300" t="str">
        <x:v>CANARIAS</x:v>
      </x:c>
      <x:c r="I61" s="310" t="n">
        <x:v>37561684</x:v>
      </x:c>
    </x:row>
    <x:row r="62">
      <x:c r="A62" s="300" t="n">
        <x:v>3</x:v>
      </x:c>
      <x:c r="B62" s="300" t="str">
        <x:v>BRASKEM S.A</x:v>
      </x:c>
      <x:c r="C62" s="300" t="str">
        <x:v>42150391000170</x:v>
      </x:c>
      <x:c r="D62" s="300" t="str">
        <x:v>BA</x:v>
      </x:c>
      <x:c r="E62" s="300" t="str">
        <x:v>27101241</x:v>
      </x:c>
      <x:c r="F62" s="300" t="str">
        <x:v>Naftas para petroquimica</x:v>
      </x:c>
      <x:c r="G62" s="300" t="str">
        <x:v>ALF - SALVADOR</x:v>
      </x:c>
      <x:c r="H62" s="300" t="str">
        <x:v>ESTADOS UNIDOS</x:v>
      </x:c>
      <x:c r="I62" s="310" t="n">
        <x:v>199941199</x:v>
      </x:c>
    </x:row>
    <x:row r="63">
      <x:c r="A63" s="300" t="n">
        <x:v>3</x:v>
      </x:c>
      <x:c r="B63" s="300" t="str">
        <x:v>BRASKEM S.A</x:v>
      </x:c>
      <x:c r="C63" s="300" t="str">
        <x:v>42150391003862</x:v>
      </x:c>
      <x:c r="D63" s="300" t="str">
        <x:v>RS</x:v>
      </x:c>
      <x:c r="E63" s="300" t="str">
        <x:v>27101241</x:v>
      </x:c>
      <x:c r="F63" s="300" t="str">
        <x:v>Naftas para petroquimica</x:v>
      </x:c>
      <x:c r="G63" s="300" t="str">
        <x:v>ALF - PORTO ALEGRE</x:v>
      </x:c>
      <x:c r="H63" s="300" t="str">
        <x:v>ESTADOS UNIDOS</x:v>
      </x:c>
      <x:c r="I63" s="310" t="n">
        <x:v>82758579</x:v>
      </x:c>
    </x:row>
    <x:row r="64">
      <x:c r="A64" s="300" t="n">
        <x:v>3</x:v>
      </x:c>
      <x:c r="B64" s="300" t="str">
        <x:v>BRENNTAG QUIMICA BRASIL LTDA.</x:v>
      </x:c>
      <x:c r="C64" s="300" t="str">
        <x:v>33391434001603</x:v>
      </x:c>
      <x:c r="D64" s="300" t="str">
        <x:v>RS</x:v>
      </x:c>
      <x:c r="E64" s="300" t="str">
        <x:v>27101249</x:v>
      </x:c>
      <x:c r="F64" s="300" t="str">
        <x:v>Outras</x:v>
      </x:c>
      <x:c r="G64" s="300" t="str">
        <x:v>ALF-Uruguaiana</x:v>
      </x:c>
      <x:c r="H64" s="300" t="str">
        <x:v>ARGENTINA</x:v>
      </x:c>
      <x:c r="I64" s="310" t="n">
        <x:v>117620</x:v>
      </x:c>
    </x:row>
    <x:row r="65">
      <x:c r="A65" s="300" t="n">
        <x:v>3</x:v>
      </x:c>
      <x:c r="B65" s="300" t="str">
        <x:v>BRENNTAG QUIMICA BRASIL LTDA.</x:v>
      </x:c>
      <x:c r="C65" s="300" t="str">
        <x:v>33391434002405</x:v>
      </x:c>
      <x:c r="D65" s="300" t="str">
        <x:v>SP</x:v>
      </x:c>
      <x:c r="E65" s="300" t="str">
        <x:v>27101249</x:v>
      </x:c>
      <x:c r="F65" s="300" t="str">
        <x:v>Outras</x:v>
      </x:c>
      <x:c r="G65" s="300" t="str">
        <x:v>ALF-Porto de Santos</x:v>
      </x:c>
      <x:c r="H65" s="300" t="str">
        <x:v>ESTADOS UNIDOS</x:v>
      </x:c>
      <x:c r="I65" s="310" t="n">
        <x:v>16646.826</x:v>
      </x:c>
    </x:row>
    <x:row r="66">
      <x:c r="A66" s="300" t="n">
        <x:v>3</x:v>
      </x:c>
      <x:c r="B66" s="300" t="str">
        <x:v>C Q A COMERCIAL QUIMICA AMERICANA LTDA</x:v>
      </x:c>
      <x:c r="C66" s="300" t="str">
        <x:v>69259182000116</x:v>
      </x:c>
      <x:c r="D66" s="300" t="str">
        <x:v>SP</x:v>
      </x:c>
      <x:c r="E66" s="300" t="str">
        <x:v>27101249</x:v>
      </x:c>
      <x:c r="F66" s="300" t="str">
        <x:v>Outras</x:v>
      </x:c>
      <x:c r="G66" s="300" t="str">
        <x:v>ALF-Aerop Intern S Paulo</x:v>
      </x:c>
      <x:c r="H66" s="300" t="str">
        <x:v>ESPANHA</x:v>
      </x:c>
      <x:c r="I66" s="310" t="n">
        <x:v>20.969</x:v>
      </x:c>
    </x:row>
    <x:row r="67">
      <x:c r="A67" s="300" t="n">
        <x:v>3</x:v>
      </x:c>
      <x:c r="B67" s="300" t="str">
        <x:v>CARBONO QUIMICA LTDA</x:v>
      </x:c>
      <x:c r="C67" s="300" t="str">
        <x:v>50611433000151</x:v>
      </x:c>
      <x:c r="D67" s="300" t="str">
        <x:v>SP</x:v>
      </x:c>
      <x:c r="E67" s="300" t="str">
        <x:v>27101249</x:v>
      </x:c>
      <x:c r="F67" s="300" t="str">
        <x:v>Outras naftas, exceto para petroquímica</x:v>
      </x:c>
      <x:c r="G67" s="300" t="str">
        <x:v>PORTO DE SANTOS</x:v>
      </x:c>
      <x:c r="H67" s="300" t="str">
        <x:v>ISRAEL</x:v>
      </x:c>
      <x:c r="I67" s="310" t="n">
        <x:v>33440</x:v>
      </x:c>
    </x:row>
    <x:row r="68">
      <x:c r="A68" s="300" t="n">
        <x:v>3</x:v>
      </x:c>
      <x:c r="B68" s="300" t="str">
        <x:v>ENVIRONMENTAL SCIENCE DO BRASIL LTDA.</x:v>
      </x:c>
      <x:c r="C68" s="300" t="str">
        <x:v>45698161000210</x:v>
      </x:c>
      <x:c r="D68" s="300" t="str">
        <x:v>SP</x:v>
      </x:c>
      <x:c r="E68" s="300" t="str">
        <x:v>27101249</x:v>
      </x:c>
      <x:c r="F68" s="300" t="str">
        <x:v>Outras</x:v>
      </x:c>
      <x:c r="G68" s="300" t="str">
        <x:v>ALF-Porto de Santos</x:v>
      </x:c>
      <x:c r="H68" s="300" t="str">
        <x:v>BELGICA</x:v>
      </x:c>
      <x:c r="I68" s="310" t="n">
        <x:v>40000</x:v>
      </x:c>
    </x:row>
    <x:row r="69">
      <x:c r="A69" s="300" t="n">
        <x:v>3</x:v>
      </x:c>
      <x:c r="B69" s="300" t="str">
        <x:v>ENVIRONMENTAL SCIENCE DO BRASIL LTDA.</x:v>
      </x:c>
      <x:c r="C69" s="300" t="str">
        <x:v>45698161000210</x:v>
      </x:c>
      <x:c r="D69" s="300" t="str">
        <x:v>SP</x:v>
      </x:c>
      <x:c r="E69" s="300" t="str">
        <x:v>27101249</x:v>
      </x:c>
      <x:c r="F69" s="300" t="str">
        <x:v>Outras naftas, exceto para petroquímica</x:v>
      </x:c>
      <x:c r="G69" s="300" t="str">
        <x:v>PORTO DE SANTOS</x:v>
      </x:c>
      <x:c r="H69" s="300" t="str">
        <x:v>BELGICA</x:v>
      </x:c>
      <x:c r="I69" s="310" t="n">
        <x:v>39980</x:v>
      </x:c>
    </x:row>
    <x:row r="70">
      <x:c r="A70" s="300" t="n">
        <x:v>3</x:v>
      </x:c>
      <x:c r="B70" s="300" t="str">
        <x:v>ETILUX IMPORTACAO E DISTRIBUICAO DE ARTIGOS DE CUTELARIA S.A</x:v>
      </x:c>
      <x:c r="C70" s="300" t="str">
        <x:v>50306471000109</x:v>
      </x:c>
      <x:c r="D70" s="300" t="str">
        <x:v>SP</x:v>
      </x:c>
      <x:c r="E70" s="300" t="str">
        <x:v>27101249</x:v>
      </x:c>
      <x:c r="F70" s="300" t="str">
        <x:v>Outras</x:v>
      </x:c>
      <x:c r="G70" s="300" t="str">
        <x:v>ALF-Porto de Santos</x:v>
      </x:c>
      <x:c r="H70" s="300" t="str">
        <x:v>CHINA</x:v>
      </x:c>
      <x:c r="I70" s="310" t="n">
        <x:v>1205.96</x:v>
      </x:c>
    </x:row>
    <x:row r="71">
      <x:c r="A71" s="300" t="n">
        <x:v>3</x:v>
      </x:c>
      <x:c r="B71" s="300" t="str">
        <x:v>GOL LINHAS AEREAS S.A.</x:v>
      </x:c>
      <x:c r="C71" s="300" t="str">
        <x:v>07575651003689</x:v>
      </x:c>
      <x:c r="D71" s="300" t="str">
        <x:v>MG</x:v>
      </x:c>
      <x:c r="E71" s="300" t="str">
        <x:v>27101249</x:v>
      </x:c>
      <x:c r="F71" s="300" t="str">
        <x:v>Outras</x:v>
      </x:c>
      <x:c r="G71" s="300" t="str">
        <x:v>ALF-Aerop Intern Viracopos</x:v>
      </x:c>
      <x:c r="H71" s="300" t="str">
        <x:v>ESTADOS UNIDOS</x:v>
      </x:c>
      <x:c r="I71" s="310" t="n">
        <x:v>160.494</x:v>
      </x:c>
    </x:row>
    <x:row r="72">
      <x:c r="A72" s="300" t="n">
        <x:v>3</x:v>
      </x:c>
      <x:c r="B72" s="300" t="str">
        <x:v>GOL LINHAS AEREAS S.A.</x:v>
      </x:c>
      <x:c r="C72" s="300" t="str">
        <x:v>07575651003689</x:v>
      </x:c>
      <x:c r="D72" s="300" t="str">
        <x:v>MG</x:v>
      </x:c>
      <x:c r="E72" s="300" t="str">
        <x:v>27101249</x:v>
      </x:c>
      <x:c r="F72" s="300" t="str">
        <x:v>Outras</x:v>
      </x:c>
      <x:c r="G72" s="300" t="str">
        <x:v>ALF-Belo Horizonte</x:v>
      </x:c>
      <x:c r="H72" s="300" t="str">
        <x:v>ESTADOS UNIDOS</x:v>
      </x:c>
      <x:c r="I72" s="310" t="n">
        <x:v>340</x:v>
      </x:c>
    </x:row>
    <x:row r="73">
      <x:c r="A73" s="300" t="n">
        <x:v>3</x:v>
      </x:c>
      <x:c r="B73" s="300" t="str">
        <x:v>INTERNATIONAL COMMODITIES TRADING LTDA</x:v>
      </x:c>
      <x:c r="C73" s="300" t="str">
        <x:v>44303728000753</x:v>
      </x:c>
      <x:c r="D73" s="300" t="str">
        <x:v>SC</x:v>
      </x:c>
      <x:c r="E73" s="300" t="str">
        <x:v>27101249</x:v>
      </x:c>
      <x:c r="F73" s="300" t="str">
        <x:v>Outras</x:v>
      </x:c>
      <x:c r="G73" s="300" t="str">
        <x:v>ALF-Dionísio Cerqueira</x:v>
      </x:c>
      <x:c r="H73" s="300" t="str">
        <x:v>ARGENTINA</x:v>
      </x:c>
      <x:c r="I73" s="310" t="n">
        <x:v>140780</x:v>
      </x:c>
    </x:row>
    <x:row r="74">
      <x:c r="A74" s="300" t="n">
        <x:v>3</x:v>
      </x:c>
      <x:c r="B74" s="300" t="str">
        <x:v>JOHNSON &amp; JOHNSON DO BRASIL INDUSTRIA E COMERCIO DE PRODUTOS</x:v>
      </x:c>
      <x:c r="C74" s="300" t="str">
        <x:v>54516661000284</x:v>
      </x:c>
      <x:c r="D74" s="300" t="str">
        <x:v>SP</x:v>
      </x:c>
      <x:c r="E74" s="300" t="str">
        <x:v>27101249</x:v>
      </x:c>
      <x:c r="F74" s="300" t="str">
        <x:v>Outras</x:v>
      </x:c>
      <x:c r="G74" s="300" t="str">
        <x:v>ALF-Aerop Intern Viracopos</x:v>
      </x:c>
      <x:c r="H74" s="300" t="str">
        <x:v>ESTADOS UNIDOS</x:v>
      </x:c>
      <x:c r="I74" s="310" t="n">
        <x:v>374.49</x:v>
      </x:c>
    </x:row>
    <x:row r="75">
      <x:c r="A75" s="300" t="n">
        <x:v>3</x:v>
      </x:c>
      <x:c r="B75" s="300" t="str">
        <x:v>LABSYNTH PRODUTOS PARA LABORATORIOS LTDA</x:v>
      </x:c>
      <x:c r="C75" s="300" t="str">
        <x:v>51462471000152</x:v>
      </x:c>
      <x:c r="D75" s="300" t="str">
        <x:v>SP</x:v>
      </x:c>
      <x:c r="E75" s="300" t="str">
        <x:v>27101249</x:v>
      </x:c>
      <x:c r="F75" s="300" t="str">
        <x:v>Outras</x:v>
      </x:c>
      <x:c r="G75" s="300" t="str">
        <x:v>ALF-Porto de Santos</x:v>
      </x:c>
      <x:c r="H75" s="300" t="str">
        <x:v>ALEMANHA</x:v>
      </x:c>
      <x:c r="I75" s="310" t="n">
        <x:v>2620</x:v>
      </x:c>
    </x:row>
    <x:row r="76">
      <x:c r="A76" s="300" t="n">
        <x:v>3</x:v>
      </x:c>
      <x:c r="B76" s="300" t="str">
        <x:v>QUANTIQ DISTRIBUIDORA LTDA</x:v>
      </x:c>
      <x:c r="C76" s="300" t="str">
        <x:v>62227509002920</x:v>
      </x:c>
      <x:c r="D76" s="300" t="str">
        <x:v>SP</x:v>
      </x:c>
      <x:c r="E76" s="300" t="str">
        <x:v>27101249</x:v>
      </x:c>
      <x:c r="F76" s="300" t="str">
        <x:v>Outras</x:v>
      </x:c>
      <x:c r="G76" s="300" t="str">
        <x:v>ALF-Porto de Santos</x:v>
      </x:c>
      <x:c r="H76" s="300" t="str">
        <x:v>FRANÇA</x:v>
      </x:c>
      <x:c r="I76" s="310" t="n">
        <x:v>31700</x:v>
      </x:c>
    </x:row>
    <x:row r="77">
      <x:c r="A77" s="300" t="n">
        <x:v>3</x:v>
      </x:c>
      <x:c r="B77" s="300" t="str">
        <x:v>REFINARIA DE MANAUS S.A.</x:v>
      </x:c>
      <x:c r="C77" s="300" t="str">
        <x:v>40180943000168</x:v>
      </x:c>
      <x:c r="D77" s="300" t="str">
        <x:v>AM</x:v>
      </x:c>
      <x:c r="E77" s="300" t="str">
        <x:v>27101249</x:v>
      </x:c>
      <x:c r="F77" s="300" t="str">
        <x:v>Outras</x:v>
      </x:c>
      <x:c r="G77" s="300" t="str">
        <x:v>ALF-Porto de Manaus</x:v>
      </x:c>
      <x:c r="H77" s="300" t="str">
        <x:v>RUSSIA</x:v>
      </x:c>
      <x:c r="I77" s="310" t="n">
        <x:v>37768435</x:v>
      </x:c>
    </x:row>
    <x:row r="78">
      <x:c r="A78" s="300" t="n">
        <x:v>3</x:v>
      </x:c>
      <x:c r="B78" s="300" t="str">
        <x:v>SCHARLAB BRASIL MATERIAL PARA LABORATORIO S/A</x:v>
      </x:c>
      <x:c r="C78" s="300" t="str">
        <x:v>64568710000103</x:v>
      </x:c>
      <x:c r="D78" s="300" t="str">
        <x:v>SP</x:v>
      </x:c>
      <x:c r="E78" s="300" t="str">
        <x:v>27101249</x:v>
      </x:c>
      <x:c r="F78" s="300" t="str">
        <x:v>Outras</x:v>
      </x:c>
      <x:c r="G78" s="300" t="str">
        <x:v>ALF-Porto de Santos</x:v>
      </x:c>
      <x:c r="H78" s="300" t="str">
        <x:v>MEXICO</x:v>
      </x:c>
      <x:c r="I78" s="310" t="n">
        <x:v>28.8</x:v>
      </x:c>
    </x:row>
    <x:row r="79">
      <x:c r="A79" s="300" t="n">
        <x:v>3</x:v>
      </x:c>
      <x:c r="B79" s="300" t="str">
        <x:v>SOCIEDADE MICHELIN DE PARTICIPACOES INDUST E COMERCIO LTDA</x:v>
      </x:c>
      <x:c r="C79" s="300" t="str">
        <x:v>50567288000744</x:v>
      </x:c>
      <x:c r="D79" s="300" t="str">
        <x:v>RJ</x:v>
      </x:c>
      <x:c r="E79" s="300" t="str">
        <x:v>27101249</x:v>
      </x:c>
      <x:c r="F79" s="300" t="str">
        <x:v>Outras naftas, exceto para petroquímica</x:v>
      </x:c>
      <x:c r="G79" s="300" t="str">
        <x:v>PORTO DO RIO DE JANEIRO</x:v>
      </x:c>
      <x:c r="H79" s="300" t="str">
        <x:v>BELGICA</x:v>
      </x:c>
      <x:c r="I79" s="310" t="n">
        <x:v>49920</x:v>
      </x:c>
    </x:row>
    <x:row r="80">
      <x:c r="A80" s="300" t="n">
        <x:v>3</x:v>
      </x:c>
      <x:c r="B80" s="300" t="str">
        <x:v>TECH INTERNATIONAL DO BRASIL SOLUCOES EM REPAROS LTDA.</x:v>
      </x:c>
      <x:c r="C80" s="300" t="str">
        <x:v>26805736000120</x:v>
      </x:c>
      <x:c r="D80" s="300" t="str">
        <x:v>SP</x:v>
      </x:c>
      <x:c r="E80" s="300" t="str">
        <x:v>27101249</x:v>
      </x:c>
      <x:c r="F80" s="300" t="str">
        <x:v>Outras</x:v>
      </x:c>
      <x:c r="G80" s="300" t="str">
        <x:v>ALF-Porto de Santos</x:v>
      </x:c>
      <x:c r="H80" s="300" t="str">
        <x:v>ESTADOS UNIDOS</x:v>
      </x:c>
      <x:c r="I80" s="310" t="n">
        <x:v>90</x:v>
      </x:c>
    </x:row>
    <x:row r="81">
      <x:c r="A81" s="300" t="n">
        <x:v>4</x:v>
      </x:c>
      <x:c r="B81" s="300" t="str">
        <x:v>ANJO QUIMICA DO BRASIL LTDA</x:v>
      </x:c>
      <x:c r="C81" s="300" t="str">
        <x:v>02921346000158</x:v>
      </x:c>
      <x:c r="D81" s="300" t="str">
        <x:v>SC</x:v>
      </x:c>
      <x:c r="E81" s="300" t="str">
        <x:v>27101249</x:v>
      </x:c>
      <x:c r="F81" s="300" t="str">
        <x:v>Outras</x:v>
      </x:c>
      <x:c r="G81" s="300" t="str">
        <x:v>ALF-Uruguaiana</x:v>
      </x:c>
      <x:c r="H81" s="300" t="str">
        <x:v>ARGENTINA</x:v>
      </x:c>
      <x:c r="I81" s="310" t="n">
        <x:v>147400</x:v>
      </x:c>
    </x:row>
    <x:row r="82">
      <x:c r="A82" s="300" t="n">
        <x:v>4</x:v>
      </x:c>
      <x:c r="B82" s="300" t="str">
        <x:v>AXALTA COATING SYSTEMS BRASIL LTDA.</x:v>
      </x:c>
      <x:c r="C82" s="300" t="str">
        <x:v>15373395000145</x:v>
      </x:c>
      <x:c r="D82" s="300" t="str">
        <x:v>SP</x:v>
      </x:c>
      <x:c r="E82" s="300" t="str">
        <x:v>27101249</x:v>
      </x:c>
      <x:c r="F82" s="300" t="str">
        <x:v>Outras naftas, exceto para petroquímica</x:v>
      </x:c>
      <x:c r="G82" s="300" t="str">
        <x:v>PORTO DE SANTOS</x:v>
      </x:c>
      <x:c r="H82" s="300" t="str">
        <x:v>ESTADOS UNIDOS</x:v>
      </x:c>
      <x:c r="I82" s="310" t="n">
        <x:v>6170.4</x:v>
      </x:c>
    </x:row>
    <x:row r="83">
      <x:c r="A83" s="300" t="n">
        <x:v>4</x:v>
      </x:c>
      <x:c r="B83" s="300" t="str">
        <x:v>BRASKEM S.A</x:v>
      </x:c>
      <x:c r="C83" s="300" t="str">
        <x:v>42150391000170</x:v>
      </x:c>
      <x:c r="D83" s="300" t="str">
        <x:v>BA</x:v>
      </x:c>
      <x:c r="E83" s="300" t="str">
        <x:v>27101241</x:v>
      </x:c>
      <x:c r="F83" s="300" t="str">
        <x:v>Naftas para petroquimica</x:v>
      </x:c>
      <x:c r="G83" s="300" t="str">
        <x:v>ALF - SALVADOR</x:v>
      </x:c>
      <x:c r="H83" s="300" t="str">
        <x:v>CANARIAS</x:v>
      </x:c>
      <x:c r="I83" s="310" t="n">
        <x:v>36400790</x:v>
      </x:c>
    </x:row>
    <x:row r="84">
      <x:c r="A84" s="300" t="n">
        <x:v>4</x:v>
      </x:c>
      <x:c r="B84" s="300" t="str">
        <x:v>BRASKEM S.A</x:v>
      </x:c>
      <x:c r="C84" s="300" t="str">
        <x:v>42150391000170</x:v>
      </x:c>
      <x:c r="D84" s="300" t="str">
        <x:v>BA</x:v>
      </x:c>
      <x:c r="E84" s="300" t="str">
        <x:v>27101241</x:v>
      </x:c>
      <x:c r="F84" s="300" t="str">
        <x:v>Naftas para petroquimica</x:v>
      </x:c>
      <x:c r="G84" s="300" t="str">
        <x:v>ALF - SALVADOR</x:v>
      </x:c>
      <x:c r="H84" s="300" t="str">
        <x:v>ESTADOS UNIDOS</x:v>
      </x:c>
      <x:c r="I84" s="310" t="n">
        <x:v>57285344</x:v>
      </x:c>
    </x:row>
    <x:row r="85">
      <x:c r="A85" s="300" t="n">
        <x:v>4</x:v>
      </x:c>
      <x:c r="B85" s="300" t="str">
        <x:v>BRASKEM S.A</x:v>
      </x:c>
      <x:c r="C85" s="300" t="str">
        <x:v>42150391003862</x:v>
      </x:c>
      <x:c r="D85" s="300" t="str">
        <x:v>RS</x:v>
      </x:c>
      <x:c r="E85" s="300" t="str">
        <x:v>27101241</x:v>
      </x:c>
      <x:c r="F85" s="300" t="str">
        <x:v>Naftas para petroquimica</x:v>
      </x:c>
      <x:c r="G85" s="300" t="str">
        <x:v>ALF - PORTO ALEGRE</x:v>
      </x:c>
      <x:c r="H85" s="300" t="str">
        <x:v>ESTADOS UNIDOS</x:v>
      </x:c>
      <x:c r="I85" s="310" t="n">
        <x:v>112636681</x:v>
      </x:c>
    </x:row>
    <x:row r="86">
      <x:c r="A86" s="300" t="n">
        <x:v>4</x:v>
      </x:c>
      <x:c r="B86" s="300" t="str">
        <x:v>BRENNTAG QUIMICA BRASIL LTDA.</x:v>
      </x:c>
      <x:c r="C86" s="300" t="str">
        <x:v>33391434001603</x:v>
      </x:c>
      <x:c r="D86" s="300" t="str">
        <x:v>RS</x:v>
      </x:c>
      <x:c r="E86" s="300" t="str">
        <x:v>27101249</x:v>
      </x:c>
      <x:c r="F86" s="300" t="str">
        <x:v>Outras</x:v>
      </x:c>
      <x:c r="G86" s="300" t="str">
        <x:v>ALF-Uruguaiana</x:v>
      </x:c>
      <x:c r="H86" s="300" t="str">
        <x:v>ARGENTINA</x:v>
      </x:c>
      <x:c r="I86" s="310" t="n">
        <x:v>222480</x:v>
      </x:c>
    </x:row>
    <x:row r="87">
      <x:c r="A87" s="300" t="n">
        <x:v>4</x:v>
      </x:c>
      <x:c r="B87" s="300" t="str">
        <x:v>BRENNTAG QUIMICA BRASIL LTDA.</x:v>
      </x:c>
      <x:c r="C87" s="300" t="str">
        <x:v>33391434002405</x:v>
      </x:c>
      <x:c r="D87" s="300" t="str">
        <x:v>SP</x:v>
      </x:c>
      <x:c r="E87" s="300" t="str">
        <x:v>27101249</x:v>
      </x:c>
      <x:c r="F87" s="300" t="str">
        <x:v>Outras</x:v>
      </x:c>
      <x:c r="G87" s="300" t="str">
        <x:v>ALF-Uruguaiana</x:v>
      </x:c>
      <x:c r="H87" s="300" t="str">
        <x:v>ARGENTINA</x:v>
      </x:c>
      <x:c r="I87" s="310" t="n">
        <x:v>25680</x:v>
      </x:c>
    </x:row>
    <x:row r="88">
      <x:c r="A88" s="300" t="n">
        <x:v>4</x:v>
      </x:c>
      <x:c r="B88" s="300" t="str">
        <x:v>CARBONO QUIMICA LTDA</x:v>
      </x:c>
      <x:c r="C88" s="300" t="str">
        <x:v>50611433000151</x:v>
      </x:c>
      <x:c r="D88" s="300" t="str">
        <x:v>SP</x:v>
      </x:c>
      <x:c r="E88" s="300" t="str">
        <x:v>27101249</x:v>
      </x:c>
      <x:c r="F88" s="300" t="str">
        <x:v>Outras naftas, exceto para petroquímica</x:v>
      </x:c>
      <x:c r="G88" s="300" t="str">
        <x:v>PORTO DE SANTOS</x:v>
      </x:c>
      <x:c r="H88" s="300" t="str">
        <x:v>ISRAEL</x:v>
      </x:c>
      <x:c r="I88" s="310" t="n">
        <x:v>33240</x:v>
      </x:c>
    </x:row>
    <x:row r="89">
      <x:c r="A89" s="300" t="n">
        <x:v>4</x:v>
      </x:c>
      <x:c r="B89" s="300" t="str">
        <x:v>FARBEN SA INDUSTRIA QUIMICA</x:v>
      </x:c>
      <x:c r="C89" s="300" t="str">
        <x:v>85111441000113</x:v>
      </x:c>
      <x:c r="D89" s="300" t="str">
        <x:v>SC</x:v>
      </x:c>
      <x:c r="E89" s="300" t="str">
        <x:v>27101249</x:v>
      </x:c>
      <x:c r="F89" s="300" t="str">
        <x:v>Outras</x:v>
      </x:c>
      <x:c r="G89" s="300" t="str">
        <x:v>ALF-Uruguaiana</x:v>
      </x:c>
      <x:c r="H89" s="300" t="str">
        <x:v>ARGENTINA</x:v>
      </x:c>
      <x:c r="I89" s="310" t="n">
        <x:v>21480</x:v>
      </x:c>
    </x:row>
    <x:row r="90">
      <x:c r="A90" s="300" t="n">
        <x:v>4</x:v>
      </x:c>
      <x:c r="B90" s="300" t="str">
        <x:v>GOL LINHAS AEREAS S.A.</x:v>
      </x:c>
      <x:c r="C90" s="300" t="str">
        <x:v>07575651003689</x:v>
      </x:c>
      <x:c r="D90" s="300" t="str">
        <x:v>MG</x:v>
      </x:c>
      <x:c r="E90" s="300" t="str">
        <x:v>27101249</x:v>
      </x:c>
      <x:c r="F90" s="300" t="str">
        <x:v>Outras</x:v>
      </x:c>
      <x:c r="G90" s="300" t="str">
        <x:v>ALF-Belo Horizonte</x:v>
      </x:c>
      <x:c r="H90" s="300" t="str">
        <x:v>ESTADOS UNIDOS</x:v>
      </x:c>
      <x:c r="I90" s="310" t="n">
        <x:v>2.75399</x:v>
      </x:c>
    </x:row>
    <x:row r="91">
      <x:c r="A91" s="300" t="n">
        <x:v>4</x:v>
      </x:c>
      <x:c r="B91" s="300" t="str">
        <x:v>INTERNATIONAL COMMODITIES TRADING LTDA</x:v>
      </x:c>
      <x:c r="C91" s="300" t="str">
        <x:v>44303728000753</x:v>
      </x:c>
      <x:c r="D91" s="300" t="str">
        <x:v>SC</x:v>
      </x:c>
      <x:c r="E91" s="300" t="str">
        <x:v>27101249</x:v>
      </x:c>
      <x:c r="F91" s="300" t="str">
        <x:v>Outras</x:v>
      </x:c>
      <x:c r="G91" s="300" t="str">
        <x:v>ALF-Dionísio Cerqueira</x:v>
      </x:c>
      <x:c r="H91" s="300" t="str">
        <x:v>ARGENTINA</x:v>
      </x:c>
      <x:c r="I91" s="310" t="n">
        <x:v>174900</x:v>
      </x:c>
    </x:row>
    <x:row r="92">
      <x:c r="A92" s="300" t="n">
        <x:v>4</x:v>
      </x:c>
      <x:c r="B92" s="300" t="str">
        <x:v>INTERNATIONAL COMMODITIES TRADING LTDA</x:v>
      </x:c>
      <x:c r="C92" s="300" t="str">
        <x:v>44303728000753</x:v>
      </x:c>
      <x:c r="D92" s="300" t="str">
        <x:v>SC</x:v>
      </x:c>
      <x:c r="E92" s="300" t="str">
        <x:v>27101249</x:v>
      </x:c>
      <x:c r="F92" s="300" t="str">
        <x:v>Outras</x:v>
      </x:c>
      <x:c r="G92" s="300" t="str">
        <x:v>ALF-Uruguaiana</x:v>
      </x:c>
      <x:c r="H92" s="300" t="str">
        <x:v>ARGENTINA</x:v>
      </x:c>
      <x:c r="I92" s="310" t="n">
        <x:v>23060</x:v>
      </x:c>
    </x:row>
    <x:row r="93">
      <x:c r="A93" s="300" t="n">
        <x:v>4</x:v>
      </x:c>
      <x:c r="B93" s="300" t="str">
        <x:v>QUANTIQ DISTRIBUIDORA LTDA</x:v>
      </x:c>
      <x:c r="C93" s="300" t="str">
        <x:v>62227509002920</x:v>
      </x:c>
      <x:c r="D93" s="300" t="str">
        <x:v>SP</x:v>
      </x:c>
      <x:c r="E93" s="300" t="str">
        <x:v>27101249</x:v>
      </x:c>
      <x:c r="F93" s="300" t="str">
        <x:v>Outras</x:v>
      </x:c>
      <x:c r="G93" s="300" t="str">
        <x:v>ALF-Porto de Santos</x:v>
      </x:c>
      <x:c r="H93" s="300" t="str">
        <x:v>FRANÇA</x:v>
      </x:c>
      <x:c r="I93" s="310" t="n">
        <x:v>16160</x:v>
      </x:c>
    </x:row>
    <x:row r="94">
      <x:c r="A94" s="300" t="n">
        <x:v>4</x:v>
      </x:c>
      <x:c r="B94" s="300" t="str">
        <x:v>SAINT-GOBAIN DO BRASIL PRODUTOS INDUSTRIAIS E PARA CONSTRUCA</x:v>
      </x:c>
      <x:c r="C94" s="300" t="str">
        <x:v>61064838016560</x:v>
      </x:c>
      <x:c r="D94" s="300" t="str">
        <x:v>SP</x:v>
      </x:c>
      <x:c r="E94" s="300" t="str">
        <x:v>27101249</x:v>
      </x:c>
      <x:c r="F94" s="300" t="str">
        <x:v>Outras</x:v>
      </x:c>
      <x:c r="G94" s="300" t="str">
        <x:v>ALF-Porto de Santos</x:v>
      </x:c>
      <x:c r="H94" s="300" t="str">
        <x:v>CHINA</x:v>
      </x:c>
      <x:c r="I94" s="310" t="n">
        <x:v>7459.2</x:v>
      </x:c>
    </x:row>
    <x:row r="95">
      <x:c r="A95" s="300" t="n">
        <x:v>4</x:v>
      </x:c>
      <x:c r="B95" s="300" t="str">
        <x:v>SOCIEDADE MICHELIN DE PARTICIPACOES INDUST E COMERCIO LTDA</x:v>
      </x:c>
      <x:c r="C95" s="300" t="str">
        <x:v>50567288000663</x:v>
      </x:c>
      <x:c r="D95" s="300" t="str">
        <x:v>RJ</x:v>
      </x:c>
      <x:c r="E95" s="300" t="str">
        <x:v>27101249</x:v>
      </x:c>
      <x:c r="F95" s="300" t="str">
        <x:v>Outras naftas, exceto para petroquímica</x:v>
      </x:c>
      <x:c r="G95" s="300" t="str">
        <x:v>AEROPORTO INTERNACIONAL GALEÃO</x:v>
      </x:c>
      <x:c r="H95" s="300" t="str">
        <x:v>ESTADOS UNIDOS</x:v>
      </x:c>
      <x:c r="I95" s="310" t="n">
        <x:v>1</x:v>
      </x:c>
    </x:row>
    <x:row r="96">
      <x:c r="A96" s="300" t="n">
        <x:v>4</x:v>
      </x:c>
      <x:c r="B96" s="300" t="str">
        <x:v>VERQUIMICA INDUSTRIA E COMERCIO DE PRODUTOS QUIMICOS EIRELI</x:v>
      </x:c>
      <x:c r="C96" s="300" t="str">
        <x:v>43588060000180</x:v>
      </x:c>
      <x:c r="D96" s="300" t="str">
        <x:v>SP</x:v>
      </x:c>
      <x:c r="E96" s="300" t="str">
        <x:v>27101249</x:v>
      </x:c>
      <x:c r="F96" s="300" t="str">
        <x:v>Outras</x:v>
      </x:c>
      <x:c r="G96" s="300" t="str">
        <x:v>ALF-Uruguaiana</x:v>
      </x:c>
      <x:c r="H96" s="300" t="str">
        <x:v>ARGENTINA</x:v>
      </x:c>
      <x:c r="I96" s="310" t="n">
        <x:v>24040</x:v>
      </x:c>
    </x:row>
    <x:row r="97">
      <x:c r="A97" s="300" t="n">
        <x:v>5</x:v>
      </x:c>
      <x:c r="B97" s="300" t="str">
        <x:v>ANJO QUIMICA DO BRASIL LTDA</x:v>
      </x:c>
      <x:c r="C97" s="300" t="str">
        <x:v>02921346000158</x:v>
      </x:c>
      <x:c r="D97" s="300" t="str">
        <x:v>SC</x:v>
      </x:c>
      <x:c r="E97" s="300" t="str">
        <x:v>27101249</x:v>
      </x:c>
      <x:c r="F97" s="300" t="str">
        <x:v>Outras</x:v>
      </x:c>
      <x:c r="G97" s="300" t="str">
        <x:v>ALF-Uruguaiana</x:v>
      </x:c>
      <x:c r="H97" s="300" t="str">
        <x:v>ARGENTINA</x:v>
      </x:c>
      <x:c r="I97" s="310" t="n">
        <x:v>43320</x:v>
      </x:c>
    </x:row>
    <x:row r="98">
      <x:c r="A98" s="300" t="n">
        <x:v>5</x:v>
      </x:c>
      <x:c r="B98" s="300" t="str">
        <x:v>AXALTA COATING SYSTEMS BRASIL LTDA.</x:v>
      </x:c>
      <x:c r="C98" s="300" t="str">
        <x:v>15373395000145</x:v>
      </x:c>
      <x:c r="D98" s="300" t="str">
        <x:v>SP</x:v>
      </x:c>
      <x:c r="E98" s="300" t="str">
        <x:v>27101249</x:v>
      </x:c>
      <x:c r="F98" s="300" t="str">
        <x:v>Outras naftas, exceto para petroquímica</x:v>
      </x:c>
      <x:c r="G98" s="300" t="str">
        <x:v>PORTO DE SANTOS</x:v>
      </x:c>
      <x:c r="H98" s="300" t="str">
        <x:v>ESTADOS UNIDOS</x:v>
      </x:c>
      <x:c r="I98" s="310" t="n">
        <x:v>6170.4</x:v>
      </x:c>
    </x:row>
    <x:row r="99">
      <x:c r="A99" s="300" t="n">
        <x:v>5</x:v>
      </x:c>
      <x:c r="B99" s="300" t="str">
        <x:v>BRASKEM S.A</x:v>
      </x:c>
      <x:c r="C99" s="300" t="str">
        <x:v>42150391000170</x:v>
      </x:c>
      <x:c r="D99" s="300" t="str">
        <x:v>BA</x:v>
      </x:c>
      <x:c r="E99" s="300" t="str">
        <x:v>27101241</x:v>
      </x:c>
      <x:c r="F99" s="300" t="str">
        <x:v>Naftas para petroquimica</x:v>
      </x:c>
      <x:c r="G99" s="300" t="str">
        <x:v>ALF - SALVADOR</x:v>
      </x:c>
      <x:c r="H99" s="300" t="str">
        <x:v>ESTADOS UNIDOS</x:v>
      </x:c>
      <x:c r="I99" s="310" t="n">
        <x:v>57965585</x:v>
      </x:c>
    </x:row>
    <x:row r="100">
      <x:c r="A100" s="300" t="n">
        <x:v>5</x:v>
      </x:c>
      <x:c r="B100" s="300" t="str">
        <x:v>BRASKEM S.A</x:v>
      </x:c>
      <x:c r="C100" s="300" t="str">
        <x:v>42150391000170</x:v>
      </x:c>
      <x:c r="D100" s="300" t="str">
        <x:v>BA</x:v>
      </x:c>
      <x:c r="E100" s="300" t="str">
        <x:v>27101241</x:v>
      </x:c>
      <x:c r="F100" s="300" t="str">
        <x:v>Naftas para petroquimica</x:v>
      </x:c>
      <x:c r="G100" s="300" t="str">
        <x:v>ALF - SALVADOR</x:v>
      </x:c>
      <x:c r="H100" s="300" t="str">
        <x:v>HOLANDA (PAISES BAIXOS)</x:v>
      </x:c>
      <x:c r="I100" s="310" t="n">
        <x:v>37279628</x:v>
      </x:c>
    </x:row>
    <x:row r="101">
      <x:c r="A101" s="300" t="n">
        <x:v>5</x:v>
      </x:c>
      <x:c r="B101" s="300" t="str">
        <x:v>BRENNTAG QUIMICA BRASIL LTDA.</x:v>
      </x:c>
      <x:c r="C101" s="300" t="str">
        <x:v>33391434002405</x:v>
      </x:c>
      <x:c r="D101" s="300" t="str">
        <x:v>SP</x:v>
      </x:c>
      <x:c r="E101" s="300" t="str">
        <x:v>27101249</x:v>
      </x:c>
      <x:c r="F101" s="300" t="str">
        <x:v>Outras</x:v>
      </x:c>
      <x:c r="G101" s="300" t="str">
        <x:v>ALF-Uruguaiana</x:v>
      </x:c>
      <x:c r="H101" s="300" t="str">
        <x:v>ARGENTINA</x:v>
      </x:c>
      <x:c r="I101" s="310" t="n">
        <x:v>170520</x:v>
      </x:c>
    </x:row>
    <x:row r="102">
      <x:c r="A102" s="300" t="n">
        <x:v>5</x:v>
      </x:c>
      <x:c r="B102" s="300" t="str">
        <x:v>ETILUX IMPORTACAO E DISTRIBUICAO DE ARTIGOS DE CUTELARIA S.A</x:v>
      </x:c>
      <x:c r="C102" s="300" t="str">
        <x:v>50306471000109</x:v>
      </x:c>
      <x:c r="D102" s="300" t="str">
        <x:v>SP</x:v>
      </x:c>
      <x:c r="E102" s="300" t="str">
        <x:v>27101249</x:v>
      </x:c>
      <x:c r="F102" s="300" t="str">
        <x:v>Outras</x:v>
      </x:c>
      <x:c r="G102" s="300" t="str">
        <x:v>ALF - São Paulo</x:v>
      </x:c>
      <x:c r="H102" s="300" t="str">
        <x:v>CHINA</x:v>
      </x:c>
      <x:c r="I102" s="310" t="n">
        <x:v>2411.93</x:v>
      </x:c>
    </x:row>
    <x:row r="103">
      <x:c r="A103" s="300" t="n">
        <x:v>5</x:v>
      </x:c>
      <x:c r="B103" s="300" t="str">
        <x:v>GOL LINHAS AEREAS S.A.</x:v>
      </x:c>
      <x:c r="C103" s="300" t="str">
        <x:v>07575651003689</x:v>
      </x:c>
      <x:c r="D103" s="300" t="str">
        <x:v>MG</x:v>
      </x:c>
      <x:c r="E103" s="300" t="str">
        <x:v>27101249</x:v>
      </x:c>
      <x:c r="F103" s="300" t="str">
        <x:v>Outras naftas, exceto para petroquímica</x:v>
      </x:c>
      <x:c r="G103" s="300" t="str">
        <x:v>AEROPORTO INTERNACIONAL DE VIRACOPOS</x:v>
      </x:c>
      <x:c r="H103" s="300" t="str">
        <x:v>ESTADOS UNIDOS</x:v>
      </x:c>
      <x:c r="I103" s="310" t="n">
        <x:v>46.648</x:v>
      </x:c>
    </x:row>
    <x:row r="104">
      <x:c r="A104" s="300" t="n">
        <x:v>5</x:v>
      </x:c>
      <x:c r="B104" s="300" t="str">
        <x:v>INTERNATIONAL COMMODITIES TRADING LTDA</x:v>
      </x:c>
      <x:c r="C104" s="300" t="str">
        <x:v>44303728000753</x:v>
      </x:c>
      <x:c r="D104" s="300" t="str">
        <x:v>SC</x:v>
      </x:c>
      <x:c r="E104" s="300" t="str">
        <x:v>27101249</x:v>
      </x:c>
      <x:c r="F104" s="300" t="str">
        <x:v>Outras</x:v>
      </x:c>
      <x:c r="G104" s="300" t="str">
        <x:v>ALF-Dionísio Cerqueira</x:v>
      </x:c>
      <x:c r="H104" s="300" t="str">
        <x:v>ARGENTINA</x:v>
      </x:c>
      <x:c r="I104" s="310" t="n">
        <x:v>70360</x:v>
      </x:c>
    </x:row>
    <x:row r="105">
      <x:c r="A105" s="300" t="n">
        <x:v>5</x:v>
      </x:c>
      <x:c r="B105" s="300" t="str">
        <x:v>INTERNATIONAL COMMODITIES TRADING LTDA</x:v>
      </x:c>
      <x:c r="C105" s="300" t="str">
        <x:v>44303728000753</x:v>
      </x:c>
      <x:c r="D105" s="300" t="str">
        <x:v>SC</x:v>
      </x:c>
      <x:c r="E105" s="300" t="str">
        <x:v>27101249</x:v>
      </x:c>
      <x:c r="F105" s="300" t="str">
        <x:v>Outras</x:v>
      </x:c>
      <x:c r="G105" s="300" t="str">
        <x:v>ALF-Uruguaiana</x:v>
      </x:c>
      <x:c r="H105" s="300" t="str">
        <x:v>ARGENTINA</x:v>
      </x:c>
      <x:c r="I105" s="310" t="n">
        <x:v>73000</x:v>
      </x:c>
    </x:row>
    <x:row r="106">
      <x:c r="A106" s="300" t="n">
        <x:v>5</x:v>
      </x:c>
      <x:c r="B106" s="300" t="str">
        <x:v>NOURYON PULP AND PERFORMANCE INDUSTRIA QUIMICA LTDA</x:v>
      </x:c>
      <x:c r="C106" s="300" t="str">
        <x:v>43818418001195</x:v>
      </x:c>
      <x:c r="D106" s="300" t="str">
        <x:v>SP</x:v>
      </x:c>
      <x:c r="E106" s="300" t="str">
        <x:v>27101249</x:v>
      </x:c>
      <x:c r="F106" s="300" t="str">
        <x:v>Outras</x:v>
      </x:c>
      <x:c r="G106" s="300" t="str">
        <x:v>ALF-Porto de Santos</x:v>
      </x:c>
      <x:c r="H106" s="300" t="str">
        <x:v>ESTADOS UNIDOS</x:v>
      </x:c>
      <x:c r="I106" s="310" t="n">
        <x:v>3985</x:v>
      </x:c>
    </x:row>
    <x:row r="107">
      <x:c r="A107" s="300" t="n">
        <x:v>5</x:v>
      </x:c>
      <x:c r="B107" s="300" t="str">
        <x:v>QUANTIQ DISTRIBUIDORA LTDA</x:v>
      </x:c>
      <x:c r="C107" s="300" t="str">
        <x:v>62227509002920</x:v>
      </x:c>
      <x:c r="D107" s="300" t="str">
        <x:v>SP</x:v>
      </x:c>
      <x:c r="E107" s="300" t="str">
        <x:v>27101249</x:v>
      </x:c>
      <x:c r="F107" s="300" t="str">
        <x:v>Outras naftas, exceto para petroquímica</x:v>
      </x:c>
      <x:c r="G107" s="300" t="str">
        <x:v>PORTO DE SANTOS</x:v>
      </x:c>
      <x:c r="H107" s="300" t="str">
        <x:v>FRANCA</x:v>
      </x:c>
      <x:c r="I107" s="310" t="n">
        <x:v>17060</x:v>
      </x:c>
    </x:row>
    <x:row r="108">
      <x:c r="A108" s="300" t="n">
        <x:v>5</x:v>
      </x:c>
      <x:c r="B108" s="300" t="str">
        <x:v>SCHARLAB BRASIL MATERIAL PARA LABORATORIO S/A</x:v>
      </x:c>
      <x:c r="C108" s="300" t="str">
        <x:v>64568710000103</x:v>
      </x:c>
      <x:c r="D108" s="300" t="str">
        <x:v>SP</x:v>
      </x:c>
      <x:c r="E108" s="300" t="str">
        <x:v>27101249</x:v>
      </x:c>
      <x:c r="F108" s="300" t="str">
        <x:v>Outras</x:v>
      </x:c>
      <x:c r="G108" s="300" t="str">
        <x:v>ALF-Porto de Santos</x:v>
      </x:c>
      <x:c r="H108" s="300" t="str">
        <x:v>MEXICO</x:v>
      </x:c>
      <x:c r="I108" s="310" t="n">
        <x:v>8.16</x:v>
      </x:c>
    </x:row>
    <x:row r="109">
      <x:c r="A109" s="300" t="n">
        <x:v>5</x:v>
      </x:c>
      <x:c r="B109" s="300" t="str">
        <x:v>SOCIEDADE MICHELIN DE PARTICIPACOES INDUST E COMERCIO LTDA</x:v>
      </x:c>
      <x:c r="C109" s="300" t="str">
        <x:v>50567288000744</x:v>
      </x:c>
      <x:c r="D109" s="300" t="str">
        <x:v>RJ</x:v>
      </x:c>
      <x:c r="E109" s="300" t="str">
        <x:v>27101249</x:v>
      </x:c>
      <x:c r="F109" s="300" t="str">
        <x:v>Outras naftas, exceto para petroquímica</x:v>
      </x:c>
      <x:c r="G109" s="300" t="str">
        <x:v>PORTO DO RIO DE JANEIRO</x:v>
      </x:c>
      <x:c r="H109" s="300" t="str">
        <x:v>BELGICA</x:v>
      </x:c>
      <x:c r="I109" s="310" t="n">
        <x:v>16500</x:v>
      </x:c>
    </x:row>
    <x:row r="110">
      <x:c r="A110" s="300" t="n">
        <x:v>5</x:v>
      </x:c>
      <x:c r="B110" s="300" t="str">
        <x:v>SOLVEN SOLVENTES E QUIMICOS LTDA</x:v>
      </x:c>
      <x:c r="C110" s="300" t="str">
        <x:v>74259896000164</x:v>
      </x:c>
      <x:c r="D110" s="300" t="str">
        <x:v>SP</x:v>
      </x:c>
      <x:c r="E110" s="300" t="str">
        <x:v>27101249</x:v>
      </x:c>
      <x:c r="F110" s="300" t="str">
        <x:v>Outras</x:v>
      </x:c>
      <x:c r="G110" s="300" t="str">
        <x:v>ALF-Porto de Santos</x:v>
      </x:c>
      <x:c r="H110" s="300" t="str">
        <x:v>ESPANHA</x:v>
      </x:c>
      <x:c r="I110" s="310" t="n">
        <x:v>16300</x:v>
      </x:c>
    </x:row>
    <x:row r="111">
      <x:c r="A111" s="300" t="n">
        <x:v>5</x:v>
      </x:c>
      <x:c r="B111" s="300" t="str">
        <x:v>TAM LINHAS AEREAS S/A.</x:v>
      </x:c>
      <x:c r="C111" s="300" t="str">
        <x:v>02012862022996</x:v>
      </x:c>
      <x:c r="D111" s="300" t="str">
        <x:v>SP</x:v>
      </x:c>
      <x:c r="E111" s="300" t="str">
        <x:v>27101249</x:v>
      </x:c>
      <x:c r="F111" s="300" t="str">
        <x:v>Outras naftas, exceto para petroquímica</x:v>
      </x:c>
      <x:c r="G111" s="300" t="str">
        <x:v>AEROPORTO INTERNACIONAL DE SAO PAULO/GUARULHOS</x:v>
      </x:c>
      <x:c r="H111" s="300" t="str">
        <x:v>GRECIA</x:v>
      </x:c>
      <x:c r="I111" s="310" t="n">
        <x:v>24.03</x:v>
      </x:c>
    </x:row>
    <x:row r="112">
      <x:c r="A112" s="300" t="n">
        <x:v>5</x:v>
      </x:c>
      <x:c r="B112" s="300" t="str">
        <x:v>TECH INTERNATIONAL DO BRASIL SOLUCOES EM REPAROS LTDA.</x:v>
      </x:c>
      <x:c r="C112" s="300" t="str">
        <x:v>26805736000120</x:v>
      </x:c>
      <x:c r="D112" s="300" t="str">
        <x:v>SP</x:v>
      </x:c>
      <x:c r="E112" s="300" t="str">
        <x:v>27101249</x:v>
      </x:c>
      <x:c r="F112" s="300" t="str">
        <x:v>Outras naftas, exceto para petroquímica</x:v>
      </x:c>
      <x:c r="G112" s="300" t="str">
        <x:v>PORTO DE SANTOS</x:v>
      </x:c>
      <x:c r="H112" s="300" t="str">
        <x:v>ESTADOS UNIDOS</x:v>
      </x:c>
      <x:c r="I112" s="310" t="n">
        <x:v>333</x:v>
      </x:c>
    </x:row>
    <x:row r="113">
      <x:c r="A113" s="300" t="n">
        <x:v>5</x:v>
      </x:c>
      <x:c r="B113" s="300" t="str">
        <x:v>VERQUIMICA INDUSTRIA E COMERCIO DE PRODUTOS QUIMICOS EIRELI</x:v>
      </x:c>
      <x:c r="C113" s="300" t="str">
        <x:v>43588060000180</x:v>
      </x:c>
      <x:c r="D113" s="300" t="str">
        <x:v>SP</x:v>
      </x:c>
      <x:c r="E113" s="300" t="str">
        <x:v>27101249</x:v>
      </x:c>
      <x:c r="F113" s="300" t="str">
        <x:v>Outras</x:v>
      </x:c>
      <x:c r="G113" s="300" t="str">
        <x:v>ALF-Porto de Santos</x:v>
      </x:c>
      <x:c r="H113" s="300" t="str">
        <x:v>ARGENTINA</x:v>
      </x:c>
      <x:c r="I113" s="310" t="n">
        <x:v>25140</x:v>
      </x:c>
    </x:row>
    <x:row r="114">
      <x:c r="A114" s="300" t="n">
        <x:v>5</x:v>
      </x:c>
      <x:c r="B114" s="300" t="str">
        <x:v>VERQUIMICA INDUSTRIA E COMERCIO DE PRODUTOS QUIMICOS EIRELI</x:v>
      </x:c>
      <x:c r="C114" s="300" t="str">
        <x:v>43588060000180</x:v>
      </x:c>
      <x:c r="D114" s="300" t="str">
        <x:v>SP</x:v>
      </x:c>
      <x:c r="E114" s="300" t="str">
        <x:v>27101249</x:v>
      </x:c>
      <x:c r="F114" s="300" t="str">
        <x:v>Outras</x:v>
      </x:c>
      <x:c r="G114" s="300" t="str">
        <x:v>ALF-Uruguaiana</x:v>
      </x:c>
      <x:c r="H114" s="300" t="str">
        <x:v>ARGENTINA</x:v>
      </x:c>
      <x:c r="I114" s="310" t="n">
        <x:v>49500</x:v>
      </x:c>
    </x:row>
    <x:row r="115">
      <x:c r="A115" s="300" t="n">
        <x:v>6</x:v>
      </x:c>
      <x:c r="B115" s="300" t="str">
        <x:v>AXALTA COATING SYSTEMS BRASIL LTDA.</x:v>
      </x:c>
      <x:c r="C115" s="300" t="str">
        <x:v>15373395000145</x:v>
      </x:c>
      <x:c r="D115" s="300" t="str">
        <x:v>SP</x:v>
      </x:c>
      <x:c r="E115" s="300" t="str">
        <x:v>27101249</x:v>
      </x:c>
      <x:c r="F115" s="300" t="str">
        <x:v>Outras naftas, exceto para petroquímica</x:v>
      </x:c>
      <x:c r="G115" s="300" t="str">
        <x:v>PORTO DE SANTOS</x:v>
      </x:c>
      <x:c r="H115" s="300" t="str">
        <x:v>ESTADOS UNIDOS</x:v>
      </x:c>
      <x:c r="I115" s="310" t="n">
        <x:v>12340.8</x:v>
      </x:c>
    </x:row>
    <x:row r="116">
      <x:c r="A116" s="300" t="n">
        <x:v>6</x:v>
      </x:c>
      <x:c r="B116" s="300" t="str">
        <x:v>BRASKEM S.A</x:v>
      </x:c>
      <x:c r="C116" s="300" t="str">
        <x:v>42150391000170</x:v>
      </x:c>
      <x:c r="D116" s="300" t="str">
        <x:v>BA</x:v>
      </x:c>
      <x:c r="E116" s="300" t="str">
        <x:v>27101241</x:v>
      </x:c>
      <x:c r="F116" s="300" t="str">
        <x:v>Naftas para petroquimica</x:v>
      </x:c>
      <x:c r="G116" s="300" t="str">
        <x:v>ALF - SALVADOR</x:v>
      </x:c>
      <x:c r="H116" s="300" t="str">
        <x:v>CANARIAS</x:v>
      </x:c>
      <x:c r="I116" s="310" t="n">
        <x:v>35073526</x:v>
      </x:c>
    </x:row>
    <x:row r="117">
      <x:c r="A117" s="300" t="n">
        <x:v>6</x:v>
      </x:c>
      <x:c r="B117" s="300" t="str">
        <x:v>BRASKEM S.A</x:v>
      </x:c>
      <x:c r="C117" s="300" t="str">
        <x:v>42150391000170</x:v>
      </x:c>
      <x:c r="D117" s="300" t="str">
        <x:v>BA</x:v>
      </x:c>
      <x:c r="E117" s="300" t="str">
        <x:v>27101241</x:v>
      </x:c>
      <x:c r="F117" s="300" t="str">
        <x:v>Naftas para petroquimica</x:v>
      </x:c>
      <x:c r="G117" s="300" t="str">
        <x:v>ALF - SALVADOR</x:v>
      </x:c>
      <x:c r="H117" s="300" t="str">
        <x:v>ESTADOS UNIDOS</x:v>
      </x:c>
      <x:c r="I117" s="310" t="n">
        <x:v>170718379</x:v>
      </x:c>
    </x:row>
    <x:row r="118">
      <x:c r="A118" s="300" t="n">
        <x:v>6</x:v>
      </x:c>
      <x:c r="B118" s="300" t="str">
        <x:v>BRENNTAG QUIMICA BRASIL LTDA.</x:v>
      </x:c>
      <x:c r="C118" s="300" t="str">
        <x:v>33391434001603</x:v>
      </x:c>
      <x:c r="D118" s="300" t="str">
        <x:v>RS</x:v>
      </x:c>
      <x:c r="E118" s="300" t="str">
        <x:v>27101249</x:v>
      </x:c>
      <x:c r="F118" s="300" t="str">
        <x:v>Outras</x:v>
      </x:c>
      <x:c r="G118" s="300" t="str">
        <x:v>ALF-Uruguaiana</x:v>
      </x:c>
      <x:c r="H118" s="300" t="str">
        <x:v>ARGENTINA</x:v>
      </x:c>
      <x:c r="I118" s="310" t="n">
        <x:v>24820</x:v>
      </x:c>
    </x:row>
    <x:row r="119">
      <x:c r="A119" s="300" t="n">
        <x:v>6</x:v>
      </x:c>
      <x:c r="B119" s="300" t="str">
        <x:v>BRENNTAG QUIMICA BRASIL LTDA.</x:v>
      </x:c>
      <x:c r="C119" s="300" t="str">
        <x:v>33391434002405</x:v>
      </x:c>
      <x:c r="D119" s="300" t="str">
        <x:v>SP</x:v>
      </x:c>
      <x:c r="E119" s="300" t="str">
        <x:v>27101249</x:v>
      </x:c>
      <x:c r="F119" s="300" t="str">
        <x:v>Outras</x:v>
      </x:c>
      <x:c r="G119" s="300" t="str">
        <x:v>ALF-Porto de Santos</x:v>
      </x:c>
      <x:c r="H119" s="300" t="str">
        <x:v>ESTADOS UNIDOS</x:v>
      </x:c>
      <x:c r="I119" s="310" t="n">
        <x:v>15630.78</x:v>
      </x:c>
    </x:row>
    <x:row r="120">
      <x:c r="A120" s="300" t="n">
        <x:v>6</x:v>
      </x:c>
      <x:c r="B120" s="300" t="str">
        <x:v>BRENNTAG QUIMICA BRASIL LTDA.</x:v>
      </x:c>
      <x:c r="C120" s="300" t="str">
        <x:v>33391434002405</x:v>
      </x:c>
      <x:c r="D120" s="300" t="str">
        <x:v>SP</x:v>
      </x:c>
      <x:c r="E120" s="300" t="str">
        <x:v>27101249</x:v>
      </x:c>
      <x:c r="F120" s="300" t="str">
        <x:v>Outras</x:v>
      </x:c>
      <x:c r="G120" s="300" t="str">
        <x:v>ALF-Uruguaiana</x:v>
      </x:c>
      <x:c r="H120" s="300" t="str">
        <x:v>ARGENTINA</x:v>
      </x:c>
      <x:c r="I120" s="310" t="n">
        <x:v>126660</x:v>
      </x:c>
    </x:row>
    <x:row r="121">
      <x:c r="A121" s="300" t="n">
        <x:v>6</x:v>
      </x:c>
      <x:c r="B121" s="300" t="str">
        <x:v>CARBONO QUIMICA LTDA</x:v>
      </x:c>
      <x:c r="C121" s="300" t="str">
        <x:v>50611433000151</x:v>
      </x:c>
      <x:c r="D121" s="300" t="str">
        <x:v>SP</x:v>
      </x:c>
      <x:c r="E121" s="300" t="str">
        <x:v>27101249</x:v>
      </x:c>
      <x:c r="F121" s="300" t="str">
        <x:v>Outras naftas, exceto para petroquímica</x:v>
      </x:c>
      <x:c r="G121" s="300" t="str">
        <x:v>PORTO DE SANTOS</x:v>
      </x:c>
      <x:c r="H121" s="300" t="str">
        <x:v>ISRAEL</x:v>
      </x:c>
      <x:c r="I121" s="310" t="n">
        <x:v>32760</x:v>
      </x:c>
    </x:row>
    <x:row r="122">
      <x:c r="A122" s="300" t="n">
        <x:v>6</x:v>
      </x:c>
      <x:c r="B122" s="300" t="str">
        <x:v>ENVIRONMENTAL SCIENCE DO BRASIL LTDA.</x:v>
      </x:c>
      <x:c r="C122" s="300" t="str">
        <x:v>45698161000210</x:v>
      </x:c>
      <x:c r="D122" s="300" t="str">
        <x:v>SP</x:v>
      </x:c>
      <x:c r="E122" s="300" t="str">
        <x:v>27101249</x:v>
      </x:c>
      <x:c r="F122" s="300" t="str">
        <x:v>Outras naftas, exceto para petroquímica</x:v>
      </x:c>
      <x:c r="G122" s="300" t="str">
        <x:v>PORTO DE SANTOS</x:v>
      </x:c>
      <x:c r="H122" s="300" t="str">
        <x:v>BELGICA</x:v>
      </x:c>
      <x:c r="I122" s="310" t="n">
        <x:v>20200</x:v>
      </x:c>
    </x:row>
    <x:row r="123">
      <x:c r="A123" s="300" t="n">
        <x:v>6</x:v>
      </x:c>
      <x:c r="B123" s="300" t="str">
        <x:v>FARBEN SA INDUSTRIA QUIMICA</x:v>
      </x:c>
      <x:c r="C123" s="300" t="str">
        <x:v>85111441000113</x:v>
      </x:c>
      <x:c r="D123" s="300" t="str">
        <x:v>SC</x:v>
      </x:c>
      <x:c r="E123" s="300" t="str">
        <x:v>27101249</x:v>
      </x:c>
      <x:c r="F123" s="300" t="str">
        <x:v>Outras</x:v>
      </x:c>
      <x:c r="G123" s="300" t="str">
        <x:v>ALF-Uruguaiana</x:v>
      </x:c>
      <x:c r="H123" s="300" t="str">
        <x:v>ARGENTINA</x:v>
      </x:c>
      <x:c r="I123" s="310" t="n">
        <x:v>64920</x:v>
      </x:c>
    </x:row>
    <x:row r="124">
      <x:c r="A124" s="300" t="n">
        <x:v>6</x:v>
      </x:c>
      <x:c r="B124" s="300" t="str">
        <x:v>GOL LINHAS AEREAS S.A.</x:v>
      </x:c>
      <x:c r="C124" s="300" t="str">
        <x:v>07575651003689</x:v>
      </x:c>
      <x:c r="D124" s="300" t="str">
        <x:v>MG</x:v>
      </x:c>
      <x:c r="E124" s="300" t="str">
        <x:v>27101249</x:v>
      </x:c>
      <x:c r="F124" s="300" t="str">
        <x:v>Outras naftas, exceto para petroquímica</x:v>
      </x:c>
      <x:c r="G124" s="300" t="str">
        <x:v>AEROPORTO INTERNACIONAL DE VIRACOPOS</x:v>
      </x:c>
      <x:c r="H124" s="300" t="str">
        <x:v>ESTADOS UNIDOS</x:v>
      </x:c>
      <x:c r="I124" s="310" t="n">
        <x:v>178.3</x:v>
      </x:c>
    </x:row>
    <x:row r="125">
      <x:c r="A125" s="300" t="n">
        <x:v>6</x:v>
      </x:c>
      <x:c r="B125" s="300" t="str">
        <x:v>INTERNATIONAL COMMODITIES TRADING LTDA</x:v>
      </x:c>
      <x:c r="C125" s="300" t="str">
        <x:v>44303728000753</x:v>
      </x:c>
      <x:c r="D125" s="300" t="str">
        <x:v>SC</x:v>
      </x:c>
      <x:c r="E125" s="300" t="str">
        <x:v>27101249</x:v>
      </x:c>
      <x:c r="F125" s="300" t="str">
        <x:v>Outras</x:v>
      </x:c>
      <x:c r="G125" s="300" t="str">
        <x:v>ALF-Dionísio Cerqueira</x:v>
      </x:c>
      <x:c r="H125" s="300" t="str">
        <x:v>ARGENTINA</x:v>
      </x:c>
      <x:c r="I125" s="310" t="n">
        <x:v>66360</x:v>
      </x:c>
    </x:row>
    <x:row r="126">
      <x:c r="A126" s="300" t="n">
        <x:v>6</x:v>
      </x:c>
      <x:c r="B126" s="300" t="str">
        <x:v>REFINARIA DE MANAUS S.A.</x:v>
      </x:c>
      <x:c r="C126" s="300" t="str">
        <x:v>40180943000168</x:v>
      </x:c>
      <x:c r="D126" s="300" t="str">
        <x:v>AM</x:v>
      </x:c>
      <x:c r="E126" s="300" t="str">
        <x:v>27101249</x:v>
      </x:c>
      <x:c r="F126" s="300" t="str">
        <x:v>Outras</x:v>
      </x:c>
      <x:c r="G126" s="300" t="str">
        <x:v>ALF-Porto de Manaus</x:v>
      </x:c>
      <x:c r="H126" s="300" t="str">
        <x:v>RUSSIA</x:v>
      </x:c>
      <x:c r="I126" s="310" t="n">
        <x:v>34119983</x:v>
      </x:c>
    </x:row>
    <x:row r="127">
      <x:c r="A127" s="300" t="n">
        <x:v>6</x:v>
      </x:c>
      <x:c r="B127" s="300" t="str">
        <x:v>SAINT-GOBAIN DO BRASIL PRODUTOS INDUSTRIAIS E PARA CONSTRUCAO LTDA</x:v>
      </x:c>
      <x:c r="C127" s="300" t="str">
        <x:v>61064838016560</x:v>
      </x:c>
      <x:c r="D127" s="300" t="str">
        <x:v>SP</x:v>
      </x:c>
      <x:c r="E127" s="300" t="str">
        <x:v>27101249</x:v>
      </x:c>
      <x:c r="F127" s="300" t="str">
        <x:v>Outras naftas, exceto para petroquímica</x:v>
      </x:c>
      <x:c r="G127" s="300" t="str">
        <x:v>PORTO DE SANTOS</x:v>
      </x:c>
      <x:c r="H127" s="300" t="str">
        <x:v>CHINA</x:v>
      </x:c>
      <x:c r="I127" s="310" t="n">
        <x:v>22668</x:v>
      </x:c>
    </x:row>
    <x:row r="128">
      <x:c r="A128" s="300" t="n">
        <x:v>6</x:v>
      </x:c>
      <x:c r="B128" s="300" t="str">
        <x:v>SOCIEDADE MICHELIN DE PARTICIPACOES INDUST E COMERCIO LTDA</x:v>
      </x:c>
      <x:c r="C128" s="300" t="str">
        <x:v>50567288000744</x:v>
      </x:c>
      <x:c r="D128" s="300" t="str">
        <x:v>RJ</x:v>
      </x:c>
      <x:c r="E128" s="300" t="str">
        <x:v>27101249</x:v>
      </x:c>
      <x:c r="F128" s="300" t="str">
        <x:v>Outras naftas, exceto para petroquímica</x:v>
      </x:c>
      <x:c r="G128" s="300" t="str">
        <x:v>PORTO DO RIO DE JANEIRO</x:v>
      </x:c>
      <x:c r="H128" s="300" t="str">
        <x:v>BELGICA</x:v>
      </x:c>
      <x:c r="I128" s="310" t="n">
        <x:v>15700</x:v>
      </x:c>
    </x:row>
    <x:row r="129">
      <x:c r="A129" s="300" t="n">
        <x:v>6</x:v>
      </x:c>
      <x:c r="B129" s="300" t="str">
        <x:v>TAM LINHAS AEREAS S/A.</x:v>
      </x:c>
      <x:c r="C129" s="300" t="str">
        <x:v>02012862022996</x:v>
      </x:c>
      <x:c r="D129" s="300" t="str">
        <x:v>SP</x:v>
      </x:c>
      <x:c r="E129" s="300" t="str">
        <x:v>27101249</x:v>
      </x:c>
      <x:c r="F129" s="300" t="str">
        <x:v>Outras naftas, exceto para petroquímica</x:v>
      </x:c>
      <x:c r="G129" s="300" t="str">
        <x:v>AEROPORTO INTERNACIONAL DE SAO PAULO/GUARULHOS</x:v>
      </x:c>
      <x:c r="H129" s="300" t="str">
        <x:v>GRECIA</x:v>
      </x:c>
      <x:c r="I129" s="310" t="n">
        <x:v>40.5</x:v>
      </x:c>
    </x:row>
    <x:row r="130">
      <x:c r="A130" s="300" t="n">
        <x:v>6</x:v>
      </x:c>
      <x:c r="B130" s="300" t="str">
        <x:v>TAM LINHAS AEREAS S/A.</x:v>
      </x:c>
      <x:c r="C130" s="300" t="str">
        <x:v>02012862022996</x:v>
      </x:c>
      <x:c r="D130" s="300" t="str">
        <x:v>SP</x:v>
      </x:c>
      <x:c r="E130" s="300" t="str">
        <x:v>27101249</x:v>
      </x:c>
      <x:c r="F130" s="300" t="str">
        <x:v>Outras naftas, exceto para petroquímica</x:v>
      </x:c>
      <x:c r="G130" s="300" t="str">
        <x:v>AEROPORTO INTERNACIONAL DE VIRACOPOS</x:v>
      </x:c>
      <x:c r="H130" s="300" t="str">
        <x:v>ESTADOS UNIDOS</x:v>
      </x:c>
      <x:c r="I130" s="310" t="n">
        <x:v>20.952</x:v>
      </x:c>
    </x:row>
    <x:row r="131">
      <x:c r="A131" s="300" t="n">
        <x:v>6</x:v>
      </x:c>
      <x:c r="B131" s="300" t="str">
        <x:v>VERQUIMICA INDUSTRIA E COMERCIO DE PRODUTOS QUIMICOS EIRELI</x:v>
      </x:c>
      <x:c r="C131" s="300" t="str">
        <x:v>43588060000180</x:v>
      </x:c>
      <x:c r="D131" s="300" t="str">
        <x:v>SP</x:v>
      </x:c>
      <x:c r="E131" s="300" t="str">
        <x:v>27101249</x:v>
      </x:c>
      <x:c r="F131" s="300" t="str">
        <x:v>Outras</x:v>
      </x:c>
      <x:c r="G131" s="300" t="str">
        <x:v>ALF-Uruguaiana</x:v>
      </x:c>
      <x:c r="H131" s="300" t="str">
        <x:v>ARGENTINA</x:v>
      </x:c>
      <x:c r="I131" s="310" t="n">
        <x:v>21220</x:v>
      </x:c>
    </x:row>
    <x:row r="132">
      <x:c r="A132" s="300" t="n">
        <x:v>7</x:v>
      </x:c>
      <x:c r="B132" s="300" t="str">
        <x:v>BRASKEM S.A</x:v>
      </x:c>
      <x:c r="C132" s="300" t="str">
        <x:v>42150391000170</x:v>
      </x:c>
      <x:c r="D132" s="300" t="str">
        <x:v>BA</x:v>
      </x:c>
      <x:c r="E132" s="300" t="str">
        <x:v>27101241</x:v>
      </x:c>
      <x:c r="F132" s="300" t="str">
        <x:v>Naftas para petroquimica</x:v>
      </x:c>
      <x:c r="G132" s="300" t="str">
        <x:v>ALF - SALVADOR</x:v>
      </x:c>
      <x:c r="H132" s="300" t="str">
        <x:v>CANARIAS</x:v>
      </x:c>
      <x:c r="I132" s="310" t="n">
        <x:v>36547741</x:v>
      </x:c>
    </x:row>
    <x:row r="133">
      <x:c r="A133" s="300" t="n">
        <x:v>7</x:v>
      </x:c>
      <x:c r="B133" s="300" t="str">
        <x:v>BRASKEM S.A</x:v>
      </x:c>
      <x:c r="C133" s="300" t="str">
        <x:v>42150391000170</x:v>
      </x:c>
      <x:c r="D133" s="300" t="str">
        <x:v>BA</x:v>
      </x:c>
      <x:c r="E133" s="300" t="str">
        <x:v>27101241</x:v>
      </x:c>
      <x:c r="F133" s="300" t="str">
        <x:v>Naftas para petroquimica</x:v>
      </x:c>
      <x:c r="G133" s="300" t="str">
        <x:v>ALF - SALVADOR</x:v>
      </x:c>
      <x:c r="H133" s="300" t="str">
        <x:v>ESTADOS UNIDOS</x:v>
      </x:c>
      <x:c r="I133" s="310" t="n">
        <x:v>115621163</x:v>
      </x:c>
    </x:row>
    <x:row r="134">
      <x:c r="A134" s="300" t="n">
        <x:v>7</x:v>
      </x:c>
      <x:c r="B134" s="300" t="str">
        <x:v>BRASKEM S.A</x:v>
      </x:c>
      <x:c r="C134" s="300" t="str">
        <x:v>42150391003862</x:v>
      </x:c>
      <x:c r="D134" s="300" t="str">
        <x:v>RS</x:v>
      </x:c>
      <x:c r="E134" s="300" t="str">
        <x:v>27101241</x:v>
      </x:c>
      <x:c r="F134" s="300" t="str">
        <x:v>Naftas para petroquimica</x:v>
      </x:c>
      <x:c r="G134" s="300" t="str">
        <x:v>ALF - PORTO ALEGRE</x:v>
      </x:c>
      <x:c r="H134" s="300" t="str">
        <x:v>ARGENTINA</x:v>
      </x:c>
      <x:c r="I134" s="310" t="n">
        <x:v>24825037</x:v>
      </x:c>
    </x:row>
    <x:row r="135">
      <x:c r="A135" s="300" t="n">
        <x:v>7</x:v>
      </x:c>
      <x:c r="B135" s="300" t="str">
        <x:v>BRENNTAG QUIMICA BRASIL LTDA.</x:v>
      </x:c>
      <x:c r="C135" s="300" t="str">
        <x:v>33391434001603</x:v>
      </x:c>
      <x:c r="D135" s="300" t="str">
        <x:v>RS</x:v>
      </x:c>
      <x:c r="E135" s="300" t="str">
        <x:v>27101249</x:v>
      </x:c>
      <x:c r="F135" s="300" t="str">
        <x:v>Outras</x:v>
      </x:c>
      <x:c r="G135" s="300" t="str">
        <x:v>ALF-Uruguaiana</x:v>
      </x:c>
      <x:c r="H135" s="300" t="str">
        <x:v>ARGENTINA</x:v>
      </x:c>
      <x:c r="I135" s="310" t="n">
        <x:v>100940</x:v>
      </x:c>
    </x:row>
    <x:row r="136">
      <x:c r="A136" s="300" t="n">
        <x:v>7</x:v>
      </x:c>
      <x:c r="B136" s="300" t="str">
        <x:v>BRENNTAG QUIMICA BRASIL LTDA.</x:v>
      </x:c>
      <x:c r="C136" s="300" t="str">
        <x:v>33391434002405</x:v>
      </x:c>
      <x:c r="D136" s="300" t="str">
        <x:v>SP</x:v>
      </x:c>
      <x:c r="E136" s="300" t="str">
        <x:v>27101249</x:v>
      </x:c>
      <x:c r="F136" s="300" t="str">
        <x:v>Outras</x:v>
      </x:c>
      <x:c r="G136" s="300" t="str">
        <x:v>ALF-Uruguaiana</x:v>
      </x:c>
      <x:c r="H136" s="300" t="str">
        <x:v>ARGENTINA</x:v>
      </x:c>
      <x:c r="I136" s="310" t="n">
        <x:v>25580</x:v>
      </x:c>
    </x:row>
    <x:row r="137">
      <x:c r="A137" s="300" t="n">
        <x:v>7</x:v>
      </x:c>
      <x:c r="B137" s="300" t="str">
        <x:v>BRENNTAG QUIMICA BRASIL LTDA.</x:v>
      </x:c>
      <x:c r="C137" s="300" t="str">
        <x:v>33391434002405</x:v>
      </x:c>
      <x:c r="D137" s="300" t="str">
        <x:v>SP</x:v>
      </x:c>
      <x:c r="E137" s="300" t="str">
        <x:v>27101249</x:v>
      </x:c>
      <x:c r="F137" s="300" t="str">
        <x:v>Outras naftas, exceto para petroquímica</x:v>
      </x:c>
      <x:c r="G137" s="300" t="str">
        <x:v>PORTO DE SANTOS</x:v>
      </x:c>
      <x:c r="H137" s="300" t="str">
        <x:v>ESTADOS UNIDOS</x:v>
      </x:c>
      <x:c r="I137" s="310" t="n">
        <x:v>31542.788</x:v>
      </x:c>
    </x:row>
    <x:row r="138">
      <x:c r="A138" s="300" t="n">
        <x:v>7</x:v>
      </x:c>
      <x:c r="B138" s="300" t="str">
        <x:v>ENVIRONMENTAL SCIENCE DO BRASIL LTDA.</x:v>
      </x:c>
      <x:c r="C138" s="300" t="str">
        <x:v>45698161000210</x:v>
      </x:c>
      <x:c r="D138" s="300" t="str">
        <x:v>SP</x:v>
      </x:c>
      <x:c r="E138" s="300" t="str">
        <x:v>27101249</x:v>
      </x:c>
      <x:c r="F138" s="300" t="str">
        <x:v>Outras naftas, exceto para petroquímica</x:v>
      </x:c>
      <x:c r="G138" s="300" t="str">
        <x:v>PORTO DE SANTOS</x:v>
      </x:c>
      <x:c r="H138" s="300" t="str">
        <x:v>BELGICA</x:v>
      </x:c>
      <x:c r="I138" s="310" t="n">
        <x:v>20180</x:v>
      </x:c>
    </x:row>
    <x:row r="139">
      <x:c r="A139" s="300" t="n">
        <x:v>7</x:v>
      </x:c>
      <x:c r="B139" s="300" t="str">
        <x:v>FARBEN SA INDUSTRIA QUIMICA</x:v>
      </x:c>
      <x:c r="C139" s="300" t="str">
        <x:v>85111441000113</x:v>
      </x:c>
      <x:c r="D139" s="300" t="str">
        <x:v>SC</x:v>
      </x:c>
      <x:c r="E139" s="300" t="str">
        <x:v>27101249</x:v>
      </x:c>
      <x:c r="F139" s="300" t="str">
        <x:v>Outras</x:v>
      </x:c>
      <x:c r="G139" s="300" t="str">
        <x:v>ALF-Uruguaiana</x:v>
      </x:c>
      <x:c r="H139" s="300" t="str">
        <x:v>ARGENTINA</x:v>
      </x:c>
      <x:c r="I139" s="310" t="n">
        <x:v>88020</x:v>
      </x:c>
    </x:row>
    <x:row r="140">
      <x:c r="A140" s="300" t="n">
        <x:v>7</x:v>
      </x:c>
      <x:c r="B140" s="300" t="str">
        <x:v>GOL LINHAS AEREAS S.A.</x:v>
      </x:c>
      <x:c r="C140" s="300" t="str">
        <x:v>07575651003689</x:v>
      </x:c>
      <x:c r="D140" s="300" t="str">
        <x:v>MG</x:v>
      </x:c>
      <x:c r="E140" s="300" t="str">
        <x:v>27101249</x:v>
      </x:c>
      <x:c r="F140" s="300" t="str">
        <x:v>Outras naftas, exceto para petroquímica</x:v>
      </x:c>
      <x:c r="G140" s="300" t="str">
        <x:v>AEROPORTO INTERNACIONAL DE SAO PAULO/GUARULHOS</x:v>
      </x:c>
      <x:c r="H140" s="300" t="str">
        <x:v>SUICA</x:v>
      </x:c>
      <x:c r="I140" s="310" t="n">
        <x:v>6</x:v>
      </x:c>
    </x:row>
    <x:row r="141">
      <x:c r="A141" s="300" t="n">
        <x:v>7</x:v>
      </x:c>
      <x:c r="B141" s="300" t="str">
        <x:v>GOL LINHAS AEREAS S.A.</x:v>
      </x:c>
      <x:c r="C141" s="300" t="str">
        <x:v>07575651003689</x:v>
      </x:c>
      <x:c r="D141" s="300" t="str">
        <x:v>MG</x:v>
      </x:c>
      <x:c r="E141" s="300" t="str">
        <x:v>27101249</x:v>
      </x:c>
      <x:c r="F141" s="300" t="str">
        <x:v>Outras naftas, exceto para petroquímica</x:v>
      </x:c>
      <x:c r="G141" s="300" t="str">
        <x:v>AEROPORTO INTERNACIONAL DE VIRACOPOS</x:v>
      </x:c>
      <x:c r="H141" s="300" t="str">
        <x:v>ESTADOS UNIDOS</x:v>
      </x:c>
      <x:c r="I141" s="310" t="n">
        <x:v>0.918</x:v>
      </x:c>
    </x:row>
    <x:row r="142">
      <x:c r="A142" s="300" t="n">
        <x:v>7</x:v>
      </x:c>
      <x:c r="B142" s="300" t="str">
        <x:v>ITW CHEMICAL PRODUCTS LTDA</x:v>
      </x:c>
      <x:c r="C142" s="300" t="str">
        <x:v>03102205000176</x:v>
      </x:c>
      <x:c r="D142" s="300" t="str">
        <x:v>SP</x:v>
      </x:c>
      <x:c r="E142" s="300" t="str">
        <x:v>27101249</x:v>
      </x:c>
      <x:c r="F142" s="300" t="str">
        <x:v>Outras naftas, exceto para petroquímica</x:v>
      </x:c>
      <x:c r="G142" s="300" t="str">
        <x:v>PORTO DE SANTOS</x:v>
      </x:c>
      <x:c r="H142" s="300" t="str">
        <x:v>ESTADOS UNIDOS</x:v>
      </x:c>
      <x:c r="I142" s="310" t="n">
        <x:v>5.89</x:v>
      </x:c>
    </x:row>
    <x:row r="143">
      <x:c r="A143" s="300" t="n">
        <x:v>7</x:v>
      </x:c>
      <x:c r="B143" s="300" t="str">
        <x:v>JOHNSON &amp; JOHNSON DO BRASIL INDUSTRIA E COMERCIO DE PRODUTOS PARA SAUDE LTDA.</x:v>
      </x:c>
      <x:c r="C143" s="300" t="str">
        <x:v>54516661000284</x:v>
      </x:c>
      <x:c r="D143" s="300" t="str">
        <x:v>SP</x:v>
      </x:c>
      <x:c r="E143" s="300" t="str">
        <x:v>27101249</x:v>
      </x:c>
      <x:c r="F143" s="300" t="str">
        <x:v>Outras naftas, exceto para petroquímica</x:v>
      </x:c>
      <x:c r="G143" s="300" t="str">
        <x:v>AEROPORTO INTERNACIONAL DE VIRACOPOS</x:v>
      </x:c>
      <x:c r="H143" s="300" t="str">
        <x:v>ESTADOS UNIDOS</x:v>
      </x:c>
      <x:c r="I143" s="310" t="n">
        <x:v>128.8</x:v>
      </x:c>
    </x:row>
    <x:row r="144">
      <x:c r="A144" s="300" t="n">
        <x:v>7</x:v>
      </x:c>
      <x:c r="B144" s="300" t="str">
        <x:v>MAGNUS COMERCIAL IMP. E EXP. LTDA</x:v>
      </x:c>
      <x:c r="C144" s="300" t="str">
        <x:v>55015808000134</x:v>
      </x:c>
      <x:c r="D144" s="300" t="str">
        <x:v>SC</x:v>
      </x:c>
      <x:c r="E144" s="300" t="str">
        <x:v>27101249</x:v>
      </x:c>
      <x:c r="F144" s="300" t="str">
        <x:v>Outras</x:v>
      </x:c>
      <x:c r="G144" s="300" t="str">
        <x:v>ALF-Dionísio Cerqueira</x:v>
      </x:c>
      <x:c r="H144" s="300" t="str">
        <x:v>ARGENTINA</x:v>
      </x:c>
      <x:c r="I144" s="310" t="n">
        <x:v>24400</x:v>
      </x:c>
    </x:row>
    <x:row r="145">
      <x:c r="A145" s="300" t="n">
        <x:v>7</x:v>
      </x:c>
      <x:c r="B145" s="300" t="str">
        <x:v>METAL CHEK DO BRASIL INDUSTRIA E COMERCIO LTDA</x:v>
      </x:c>
      <x:c r="C145" s="300" t="str">
        <x:v>50892934000153</x:v>
      </x:c>
      <x:c r="D145" s="300" t="str">
        <x:v>SP</x:v>
      </x:c>
      <x:c r="E145" s="300" t="str">
        <x:v>27101249</x:v>
      </x:c>
      <x:c r="F145" s="300" t="str">
        <x:v>Outras naftas, exceto para petroquímica</x:v>
      </x:c>
      <x:c r="G145" s="300" t="str">
        <x:v>PORTO DE SANTOS</x:v>
      </x:c>
      <x:c r="H145" s="300" t="str">
        <x:v>ESTADOS UNIDOS</x:v>
      </x:c>
      <x:c r="I145" s="310" t="n">
        <x:v>90.9</x:v>
      </x:c>
    </x:row>
    <x:row r="146">
      <x:c r="A146" s="300" t="n">
        <x:v>7</x:v>
      </x:c>
      <x:c r="B146" s="300" t="str">
        <x:v>REFINARIA DE MANAUS S.A.</x:v>
      </x:c>
      <x:c r="C146" s="300" t="str">
        <x:v>40180943000168</x:v>
      </x:c>
      <x:c r="D146" s="300" t="str">
        <x:v>AM</x:v>
      </x:c>
      <x:c r="E146" s="300" t="str">
        <x:v>27101249</x:v>
      </x:c>
      <x:c r="F146" s="300" t="str">
        <x:v>Outras</x:v>
      </x:c>
      <x:c r="G146" s="300" t="str">
        <x:v>ALF-Porto de Manaus</x:v>
      </x:c>
      <x:c r="H146" s="300" t="str">
        <x:v>RUSSIA</x:v>
      </x:c>
      <x:c r="I146" s="310" t="n">
        <x:v>36377440</x:v>
      </x:c>
    </x:row>
    <x:row r="147">
      <x:c r="A147" s="300" t="n">
        <x:v>7</x:v>
      </x:c>
      <x:c r="B147" s="300" t="str">
        <x:v>SOCIEDADE MICHELIN DE PARTICIPACOES INDUST E COMERCIO LTDA</x:v>
      </x:c>
      <x:c r="C147" s="300" t="str">
        <x:v>50567288000744</x:v>
      </x:c>
      <x:c r="D147" s="300" t="str">
        <x:v>RJ</x:v>
      </x:c>
      <x:c r="E147" s="300" t="str">
        <x:v>27101249</x:v>
      </x:c>
      <x:c r="F147" s="300" t="str">
        <x:v>Outras naftas, exceto para petroquímica</x:v>
      </x:c>
      <x:c r="G147" s="300" t="str">
        <x:v>PORTO DO RIO DE JANEIRO</x:v>
      </x:c>
      <x:c r="H147" s="300" t="str">
        <x:v>BELGICA</x:v>
      </x:c>
      <x:c r="I147" s="310" t="n">
        <x:v>16460</x:v>
      </x:c>
    </x:row>
    <x:row r="148">
      <x:c r="A148" s="300" t="n">
        <x:v>7</x:v>
      </x:c>
      <x:c r="B148" s="300" t="str">
        <x:v>SUMITOMO RUBBER DO BRASIL LTDA.</x:v>
      </x:c>
      <x:c r="C148" s="300" t="str">
        <x:v>13816470000170</x:v>
      </x:c>
      <x:c r="D148" s="300" t="str">
        <x:v>PR</x:v>
      </x:c>
      <x:c r="E148" s="300" t="str">
        <x:v>27101249</x:v>
      </x:c>
      <x:c r="F148" s="300" t="str">
        <x:v>Outras naftas, exceto para petroquímica</x:v>
      </x:c>
      <x:c r="G148" s="300" t="str">
        <x:v>PORTO DE PARANAGUA</x:v>
      </x:c>
      <x:c r="H148" s="300" t="str">
        <x:v>ESTADOS UNIDOS</x:v>
      </x:c>
      <x:c r="I148" s="310" t="n">
        <x:v>870.84</x:v>
      </x:c>
    </x:row>
    <x:row r="149">
      <x:c r="A149" s="300" t="n">
        <x:v>7</x:v>
      </x:c>
      <x:c r="B149" s="300" t="str">
        <x:v>UBA-FERROMINAS PERFILADOS LTDA.</x:v>
      </x:c>
      <x:c r="C149" s="300" t="str">
        <x:v>15562372000260</x:v>
      </x:c>
      <x:c r="D149" s="300" t="str">
        <x:v>MG</x:v>
      </x:c>
      <x:c r="E149" s="300" t="str">
        <x:v>27101249</x:v>
      </x:c>
      <x:c r="F149" s="300" t="str">
        <x:v>Outras naftas, exceto para petroquímica</x:v>
      </x:c>
      <x:c r="G149" s="300" t="str">
        <x:v>PORTO DE SANTOS</x:v>
      </x:c>
      <x:c r="H149" s="300" t="str">
        <x:v>COREIA DO SUL</x:v>
      </x:c>
      <x:c r="I149" s="310" t="n">
        <x:v>14840</x:v>
      </x:c>
    </x:row>
    <x:row r="150">
      <x:c r="A150" s="300" t="n">
        <x:v>7</x:v>
      </x:c>
      <x:c r="B150" s="300" t="str">
        <x:v>VESTAS DO BRASIL ENERGIA EOLICA LTDA</x:v>
      </x:c>
      <x:c r="C150" s="300" t="str">
        <x:v>04919351001980</x:v>
      </x:c>
      <x:c r="D150" s="300" t="str">
        <x:v>RN</x:v>
      </x:c>
      <x:c r="E150" s="300" t="str">
        <x:v>27101249</x:v>
      </x:c>
      <x:c r="F150" s="300" t="str">
        <x:v>Outras naftas, exceto para petroquímica</x:v>
      </x:c>
      <x:c r="G150" s="300" t="str">
        <x:v>IRF - AEROPORTO INTERNACIONAL PINTO MARTINS</x:v>
      </x:c>
      <x:c r="H150" s="300" t="str">
        <x:v>DINAMARCA</x:v>
      </x:c>
      <x:c r="I150" s="310" t="n">
        <x:v>4.5</x:v>
      </x:c>
    </x:row>
    <x:row r="151">
      <x:c r="A151" s="300" t="n">
        <x:v>8</x:v>
      </x:c>
      <x:c r="B151" s="300" t="str">
        <x:v>BAKER HUGHES DO BRASIL LTDA</x:v>
      </x:c>
      <x:c r="C151" s="300" t="str">
        <x:v>42087254000643</x:v>
      </x:c>
      <x:c r="D151" s="300" t="str">
        <x:v>RJ</x:v>
      </x:c>
      <x:c r="E151" s="300" t="str">
        <x:v>27101249</x:v>
      </x:c>
      <x:c r="F151" s="300" t="str">
        <x:v>Outras naftas, exceto para petroquímica</x:v>
      </x:c>
      <x:c r="G151" s="300" t="str">
        <x:v>AEROPORTO INTERNACIONAL GALEÃO</x:v>
      </x:c>
      <x:c r="H151" s="300" t="str">
        <x:v>ALEMANHA</x:v>
      </x:c>
      <x:c r="I151" s="310" t="n">
        <x:v>23</x:v>
      </x:c>
    </x:row>
    <x:row r="152">
      <x:c r="A152" s="300" t="n">
        <x:v>8</x:v>
      </x:c>
      <x:c r="B152" s="300" t="str">
        <x:v>BANDEIRANTE QUIMICA LIMITADA</x:v>
      </x:c>
      <x:c r="C152" s="300" t="str">
        <x:v>47854831002057</x:v>
      </x:c>
      <x:c r="D152" s="300" t="str">
        <x:v>SP</x:v>
      </x:c>
      <x:c r="E152" s="300" t="str">
        <x:v>27101249</x:v>
      </x:c>
      <x:c r="F152" s="300" t="str">
        <x:v>Outras naftas, exceto para petroquímica</x:v>
      </x:c>
      <x:c r="G152" s="300" t="str">
        <x:v>PORTO DE SANTOS</x:v>
      </x:c>
      <x:c r="H152" s="300" t="str">
        <x:v>FRANCA</x:v>
      </x:c>
      <x:c r="I152" s="310" t="n">
        <x:v>15500</x:v>
      </x:c>
    </x:row>
    <x:row r="153">
      <x:c r="A153" s="300" t="n">
        <x:v>8</x:v>
      </x:c>
      <x:c r="B153" s="300" t="str">
        <x:v>BRASKEM S.A</x:v>
      </x:c>
      <x:c r="C153" s="300" t="str">
        <x:v>42150391000170</x:v>
      </x:c>
      <x:c r="D153" s="300" t="str">
        <x:v>BA</x:v>
      </x:c>
      <x:c r="E153" s="300" t="str">
        <x:v>27101241</x:v>
      </x:c>
      <x:c r="F153" s="300" t="str">
        <x:v>Naftas para petroquimica</x:v>
      </x:c>
      <x:c r="G153" s="300" t="str">
        <x:v>ALF - SALVADOR</x:v>
      </x:c>
      <x:c r="H153" s="300" t="str">
        <x:v>ESTADOS UNIDOS</x:v>
      </x:c>
      <x:c r="I153" s="310" t="n">
        <x:v>128610440.276</x:v>
      </x:c>
    </x:row>
    <x:row r="154">
      <x:c r="A154" s="300" t="n">
        <x:v>8</x:v>
      </x:c>
      <x:c r="B154" s="300" t="str">
        <x:v>BRASKEM S.A</x:v>
      </x:c>
      <x:c r="C154" s="300" t="str">
        <x:v>42150391003862</x:v>
      </x:c>
      <x:c r="D154" s="300" t="str">
        <x:v>RS</x:v>
      </x:c>
      <x:c r="E154" s="300" t="str">
        <x:v>27101241</x:v>
      </x:c>
      <x:c r="F154" s="300" t="str">
        <x:v>Naftas para petroquimica</x:v>
      </x:c>
      <x:c r="G154" s="300" t="str">
        <x:v>ALF - PORTO ALEGRE</x:v>
      </x:c>
      <x:c r="H154" s="300" t="str">
        <x:v>ARGELIA</x:v>
      </x:c>
      <x:c r="I154" s="310" t="n">
        <x:v>85411854</x:v>
      </x:c>
    </x:row>
    <x:row r="155">
      <x:c r="A155" s="300" t="n">
        <x:v>8</x:v>
      </x:c>
      <x:c r="B155" s="300" t="str">
        <x:v>BRASKEM S.A</x:v>
      </x:c>
      <x:c r="C155" s="300" t="str">
        <x:v>42150391003862</x:v>
      </x:c>
      <x:c r="D155" s="300" t="str">
        <x:v>RS</x:v>
      </x:c>
      <x:c r="E155" s="300" t="str">
        <x:v>27101241</x:v>
      </x:c>
      <x:c r="F155" s="300" t="str">
        <x:v>Naftas para petroquimica</x:v>
      </x:c>
      <x:c r="G155" s="300" t="str">
        <x:v>ALF - PORTO ALEGRE</x:v>
      </x:c>
      <x:c r="H155" s="300" t="str">
        <x:v>ARGENTINA</x:v>
      </x:c>
      <x:c r="I155" s="310" t="n">
        <x:v>26371369</x:v>
      </x:c>
    </x:row>
    <x:row r="156">
      <x:c r="A156" s="300" t="n">
        <x:v>8</x:v>
      </x:c>
      <x:c r="B156" s="300" t="str">
        <x:v>BRENNTAG QUIMICA BRASIL LTDA.</x:v>
      </x:c>
      <x:c r="C156" s="300" t="str">
        <x:v>33391434001603</x:v>
      </x:c>
      <x:c r="D156" s="300" t="str">
        <x:v>RS</x:v>
      </x:c>
      <x:c r="E156" s="300" t="str">
        <x:v>27101249</x:v>
      </x:c>
      <x:c r="F156" s="300" t="str">
        <x:v>Outras</x:v>
      </x:c>
      <x:c r="G156" s="300" t="str">
        <x:v>ALF-Uruguaiana</x:v>
      </x:c>
      <x:c r="H156" s="300" t="str">
        <x:v>ARGENTINA</x:v>
      </x:c>
      <x:c r="I156" s="310" t="n">
        <x:v>76100</x:v>
      </x:c>
    </x:row>
    <x:row r="157">
      <x:c r="A157" s="300" t="n">
        <x:v>8</x:v>
      </x:c>
      <x:c r="B157" s="300" t="str">
        <x:v>BRENNTAG QUIMICA BRASIL LTDA.</x:v>
      </x:c>
      <x:c r="C157" s="300" t="str">
        <x:v>33391434002405</x:v>
      </x:c>
      <x:c r="D157" s="300" t="str">
        <x:v>SP</x:v>
      </x:c>
      <x:c r="E157" s="300" t="str">
        <x:v>27101249</x:v>
      </x:c>
      <x:c r="F157" s="300" t="str">
        <x:v>Outras naftas, exceto para petroquímica</x:v>
      </x:c>
      <x:c r="G157" s="300" t="str">
        <x:v>PORTO DE SANTOS</x:v>
      </x:c>
      <x:c r="H157" s="300" t="str">
        <x:v>ESTADOS UNIDOS</x:v>
      </x:c>
      <x:c r="I157" s="310" t="n">
        <x:v>31361.351000000002</x:v>
      </x:c>
    </x:row>
    <x:row r="158">
      <x:c r="A158" s="300" t="n">
        <x:v>8</x:v>
      </x:c>
      <x:c r="B158" s="300" t="str">
        <x:v>C Q A COMERCIAL QUIMICA AMERICANA LTDA</x:v>
      </x:c>
      <x:c r="C158" s="300" t="str">
        <x:v>69259182000116</x:v>
      </x:c>
      <x:c r="D158" s="300" t="str">
        <x:v>SP</x:v>
      </x:c>
      <x:c r="E158" s="300" t="str">
        <x:v>27101249</x:v>
      </x:c>
      <x:c r="F158" s="300" t="str">
        <x:v>Outras naftas, exceto para petroquímica</x:v>
      </x:c>
      <x:c r="G158" s="300" t="str">
        <x:v>PORTO DE SANTOS</x:v>
      </x:c>
      <x:c r="H158" s="300" t="str">
        <x:v>CANARIAS</x:v>
      </x:c>
      <x:c r="I158" s="310" t="n">
        <x:v>40.325</x:v>
      </x:c>
    </x:row>
    <x:row r="159">
      <x:c r="A159" s="300" t="n">
        <x:v>8</x:v>
      </x:c>
      <x:c r="B159" s="300" t="str">
        <x:v>FARBEN SA INDUSTRIA QUIMICA</x:v>
      </x:c>
      <x:c r="C159" s="300" t="str">
        <x:v>85111441000113</x:v>
      </x:c>
      <x:c r="D159" s="300" t="str">
        <x:v>SC</x:v>
      </x:c>
      <x:c r="E159" s="300" t="str">
        <x:v>27101249</x:v>
      </x:c>
      <x:c r="F159" s="300" t="str">
        <x:v>Outras</x:v>
      </x:c>
      <x:c r="G159" s="300" t="str">
        <x:v>ALF-Uruguaiana</x:v>
      </x:c>
      <x:c r="H159" s="300" t="str">
        <x:v>ARGENTINA</x:v>
      </x:c>
      <x:c r="I159" s="310" t="n">
        <x:v>22600</x:v>
      </x:c>
    </x:row>
    <x:row r="160">
      <x:c r="A160" s="300" t="n">
        <x:v>8</x:v>
      </x:c>
      <x:c r="B160" s="300" t="str">
        <x:v>GOL LINHAS AEREAS S.A.</x:v>
      </x:c>
      <x:c r="C160" s="300" t="str">
        <x:v>07575651003689</x:v>
      </x:c>
      <x:c r="D160" s="300" t="str">
        <x:v>MG</x:v>
      </x:c>
      <x:c r="E160" s="300" t="str">
        <x:v>27101249</x:v>
      </x:c>
      <x:c r="F160" s="300" t="str">
        <x:v>Outras naftas, exceto para petroquímica</x:v>
      </x:c>
      <x:c r="G160" s="300" t="str">
        <x:v>AEROPORTO INTERNACIONAL DE VIRACOPOS</x:v>
      </x:c>
      <x:c r="H160" s="300" t="str">
        <x:v>ESTADOS UNIDOS</x:v>
      </x:c>
      <x:c r="I160" s="310" t="n">
        <x:v>174.25</x:v>
      </x:c>
    </x:row>
    <x:row r="161">
      <x:c r="A161" s="300" t="n">
        <x:v>8</x:v>
      </x:c>
      <x:c r="B161" s="300" t="str">
        <x:v>GOL LINHAS AEREAS S.A.</x:v>
      </x:c>
      <x:c r="C161" s="300" t="str">
        <x:v>07575651003689</x:v>
      </x:c>
      <x:c r="D161" s="300" t="str">
        <x:v>MG</x:v>
      </x:c>
      <x:c r="E161" s="300" t="str">
        <x:v>27101249</x:v>
      </x:c>
      <x:c r="F161" s="300" t="str">
        <x:v>Outras naftas, exceto para petroquímica</x:v>
      </x:c>
      <x:c r="G161" s="300" t="str">
        <x:v>ALF - BELO HORIZONTE</x:v>
      </x:c>
      <x:c r="H161" s="300" t="str">
        <x:v>ESTADOS UNIDOS</x:v>
      </x:c>
      <x:c r="I161" s="310" t="n">
        <x:v>278.8</x:v>
      </x:c>
    </x:row>
    <x:row r="162">
      <x:c r="A162" s="300" t="n">
        <x:v>8</x:v>
      </x:c>
      <x:c r="B162" s="300" t="str">
        <x:v>INTERNATIONAL COMMODITIES TRADING LTDA</x:v>
      </x:c>
      <x:c r="C162" s="300" t="str">
        <x:v>44303728000753</x:v>
      </x:c>
      <x:c r="D162" s="300" t="str">
        <x:v>SC</x:v>
      </x:c>
      <x:c r="E162" s="300" t="str">
        <x:v>27101249</x:v>
      </x:c>
      <x:c r="F162" s="300" t="str">
        <x:v>Outras</x:v>
      </x:c>
      <x:c r="G162" s="300" t="str">
        <x:v>ALF-Dionísio Cerqueira</x:v>
      </x:c>
      <x:c r="H162" s="300" t="str">
        <x:v>ARGENTINA</x:v>
      </x:c>
      <x:c r="I162" s="310" t="n">
        <x:v>26740</x:v>
      </x:c>
    </x:row>
    <x:row r="163">
      <x:c r="A163" s="300" t="n">
        <x:v>8</x:v>
      </x:c>
      <x:c r="B163" s="300" t="str">
        <x:v>JOHNSON &amp; JOHNSON DO BRASIL INDUSTRIA E COMERCIO DE PRODUTOS PARA SAUDE LTDA.</x:v>
      </x:c>
      <x:c r="C163" s="300" t="str">
        <x:v>54516661000284</x:v>
      </x:c>
      <x:c r="D163" s="300" t="str">
        <x:v>SP</x:v>
      </x:c>
      <x:c r="E163" s="300" t="str">
        <x:v>27101249</x:v>
      </x:c>
      <x:c r="F163" s="300" t="str">
        <x:v>Outras naftas, exceto para petroquímica</x:v>
      </x:c>
      <x:c r="G163" s="300" t="str">
        <x:v>AEROPORTO INTERNACIONAL DE VIRACOPOS</x:v>
      </x:c>
      <x:c r="H163" s="300" t="str">
        <x:v>ESTADOS UNIDOS</x:v>
      </x:c>
      <x:c r="I163" s="310" t="n">
        <x:v>263.2</x:v>
      </x:c>
    </x:row>
    <x:row r="164">
      <x:c r="A164" s="300" t="n">
        <x:v>8</x:v>
      </x:c>
      <x:c r="B164" s="300" t="str">
        <x:v>MAGNUS COMERCIAL IMP. E EXP. LTDA</x:v>
      </x:c>
      <x:c r="C164" s="300" t="str">
        <x:v>55015808000134</x:v>
      </x:c>
      <x:c r="D164" s="300" t="str">
        <x:v>SC</x:v>
      </x:c>
      <x:c r="E164" s="300" t="str">
        <x:v>27101249</x:v>
      </x:c>
      <x:c r="F164" s="300" t="str">
        <x:v>Outras</x:v>
      </x:c>
      <x:c r="G164" s="300" t="str">
        <x:v>ALF-Dionísio Cerqueira</x:v>
      </x:c>
      <x:c r="H164" s="300" t="str">
        <x:v>ARGENTINA</x:v>
      </x:c>
      <x:c r="I164" s="310" t="n">
        <x:v>23700</x:v>
      </x:c>
    </x:row>
    <x:row r="165">
      <x:c r="A165" s="300" t="n">
        <x:v>8</x:v>
      </x:c>
      <x:c r="B165" s="300" t="str">
        <x:v>PPG INDUSTRIAL DO BRASIL - TINTAS E VERNIZES - LTDA.</x:v>
      </x:c>
      <x:c r="C165" s="300" t="str">
        <x:v>43996693000127</x:v>
      </x:c>
      <x:c r="D165" s="300" t="str">
        <x:v>SP</x:v>
      </x:c>
      <x:c r="E165" s="300" t="str">
        <x:v>27101249</x:v>
      </x:c>
      <x:c r="F165" s="300" t="str">
        <x:v>Outras naftas, exceto para petroquímica</x:v>
      </x:c>
      <x:c r="G165" s="300" t="str">
        <x:v>PORTO DE SANTOS</x:v>
      </x:c>
      <x:c r="H165" s="300" t="str">
        <x:v>ESTADOS UNIDOS</x:v>
      </x:c>
      <x:c r="I165" s="310" t="n">
        <x:v>609.6384</x:v>
      </x:c>
    </x:row>
    <x:row r="166">
      <x:c r="A166" s="300" t="n">
        <x:v>8</x:v>
      </x:c>
      <x:c r="B166" s="300" t="str">
        <x:v>SAINT-GOBAIN DO BRASIL PRODUTOS INDUSTRIAIS E PARA CONSTRUCAO LTDA</x:v>
      </x:c>
      <x:c r="C166" s="300" t="str">
        <x:v>61064838016560</x:v>
      </x:c>
      <x:c r="D166" s="300" t="str">
        <x:v>SP</x:v>
      </x:c>
      <x:c r="E166" s="300" t="str">
        <x:v>27101249</x:v>
      </x:c>
      <x:c r="F166" s="300" t="str">
        <x:v>Outras naftas, exceto para petroquímica</x:v>
      </x:c>
      <x:c r="G166" s="300" t="str">
        <x:v>PORTO DE SANTOS</x:v>
      </x:c>
      <x:c r="H166" s="300" t="str">
        <x:v>CHINA</x:v>
      </x:c>
      <x:c r="I166" s="310" t="n">
        <x:v>24693.6</x:v>
      </x:c>
    </x:row>
    <x:row r="167">
      <x:c r="A167" s="300" t="n">
        <x:v>8</x:v>
      </x:c>
      <x:c r="B167" s="300" t="str">
        <x:v>SOCIEDADE MICHELIN DE PARTICIPACOES INDUST E COMERCIO LTDA</x:v>
      </x:c>
      <x:c r="C167" s="300" t="str">
        <x:v>50567288000744</x:v>
      </x:c>
      <x:c r="D167" s="300" t="str">
        <x:v>RJ</x:v>
      </x:c>
      <x:c r="E167" s="300" t="str">
        <x:v>27101249</x:v>
      </x:c>
      <x:c r="F167" s="300" t="str">
        <x:v>Outras naftas, exceto para petroquímica</x:v>
      </x:c>
      <x:c r="G167" s="300" t="str">
        <x:v>PORTO DO RIO DE JANEIRO</x:v>
      </x:c>
      <x:c r="H167" s="300" t="str">
        <x:v>BELGICA</x:v>
      </x:c>
      <x:c r="I167" s="310" t="n">
        <x:v>15820</x:v>
      </x:c>
    </x:row>
    <x:row r="168">
      <x:c r="A168" s="300" t="n">
        <x:v>8</x:v>
      </x:c>
      <x:c r="B168" s="300" t="str">
        <x:v>VESTAS DO BRASIL ENERGIA EOLICA LTDA</x:v>
      </x:c>
      <x:c r="C168" s="300" t="str">
        <x:v>04919351001980</x:v>
      </x:c>
      <x:c r="D168" s="300" t="str">
        <x:v>RN</x:v>
      </x:c>
      <x:c r="E168" s="300" t="str">
        <x:v>27101249</x:v>
      </x:c>
      <x:c r="F168" s="300" t="str">
        <x:v>Outras naftas, exceto para petroquímica</x:v>
      </x:c>
      <x:c r="G168" s="300" t="str">
        <x:v>IRF - AEROPORTO INTERNACIONAL PINTO MARTINS</x:v>
      </x:c>
      <x:c r="H168" s="300" t="str">
        <x:v>DINAMARCA</x:v>
      </x:c>
      <x:c r="I168" s="310" t="n">
        <x:v>5.25</x:v>
      </x:c>
    </x:row>
  </x:sheetData>
  <x:mergeCells>
    <x:mergeCell ref="A1:I1"/>
    <x:mergeCell ref="A2:I2"/>
    <x:mergeCell ref="A23:I23"/>
    <x:mergeCell ref="A24:I24"/>
  </x:mergeCells>
  <x:pageMargins left="0.7" right="0.7" top="0.75" bottom="0.75" header="0.3" footer="0.3"/>
</x:worksheet>
</file>